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计划和订单\采购部\采购报价\2026年\震源\"/>
    </mc:Choice>
  </mc:AlternateContent>
  <xr:revisionPtr revIDLastSave="0" documentId="13_ncr:1_{3981B2B2-A313-4146-B905-9DFA4C473F58}" xr6:coauthVersionLast="47" xr6:coauthVersionMax="47" xr10:uidLastSave="{00000000-0000-0000-0000-000000000000}"/>
  <bookViews>
    <workbookView xWindow="-108" yWindow="-108" windowWidth="30936" windowHeight="16776" tabRatio="775" firstSheet="11" activeTab="16" xr2:uid="{00000000-000D-0000-FFFF-FFFF00000000}"/>
  </bookViews>
  <sheets>
    <sheet name="板材结存" sheetId="15" state="hidden" r:id="rId1"/>
    <sheet name="开平板1月" sheetId="16" state="hidden" r:id="rId2"/>
    <sheet name="开平板2月" sheetId="17" state="hidden" r:id="rId3"/>
    <sheet name="开平板3月 " sheetId="19" state="hidden" r:id="rId4"/>
    <sheet name="开平板4月 " sheetId="20" state="hidden" r:id="rId5"/>
    <sheet name="开平板5月 " sheetId="21" state="hidden" r:id="rId6"/>
    <sheet name="开平板6月" sheetId="22" state="hidden" r:id="rId7"/>
    <sheet name="开平板7月 " sheetId="23" state="hidden" r:id="rId8"/>
    <sheet name="开平板4月" sheetId="5" state="hidden" r:id="rId9"/>
    <sheet name="自切管 3月" sheetId="4" state="hidden" r:id="rId10"/>
    <sheet name="开平板 3月" sheetId="1" state="hidden" r:id="rId11"/>
    <sheet name="26年1月份板材价格" sheetId="154" r:id="rId12"/>
    <sheet name="26年2月份板材价格" sheetId="155" r:id="rId13"/>
    <sheet name="26年3月份板材价格 " sheetId="156" r:id="rId14"/>
    <sheet name="26年4月份板材价格 " sheetId="157" r:id="rId15"/>
    <sheet name="26年5月份板材价格 " sheetId="158" r:id="rId16"/>
    <sheet name="26年6月份板材价格  " sheetId="15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3" i="159" l="1"/>
  <c r="AK23" i="159" s="1"/>
  <c r="M23" i="159"/>
  <c r="AH23" i="159" s="1"/>
  <c r="J23" i="159"/>
  <c r="T22" i="159"/>
  <c r="M22" i="159"/>
  <c r="AH22" i="159" s="1"/>
  <c r="J22" i="159"/>
  <c r="AF21" i="159"/>
  <c r="AF22" i="159" s="1"/>
  <c r="AE21" i="159"/>
  <c r="AE22" i="159" s="1"/>
  <c r="AD21" i="159"/>
  <c r="AD22" i="159" s="1"/>
  <c r="AC21" i="159"/>
  <c r="AC22" i="159" s="1"/>
  <c r="AB21" i="159"/>
  <c r="AB22" i="159" s="1"/>
  <c r="AA21" i="159"/>
  <c r="AA22" i="159" s="1"/>
  <c r="Z21" i="159"/>
  <c r="Z22" i="159" s="1"/>
  <c r="Y21" i="159"/>
  <c r="Y22" i="159" s="1"/>
  <c r="X21" i="159"/>
  <c r="X22" i="159" s="1"/>
  <c r="W21" i="159"/>
  <c r="W22" i="159" s="1"/>
  <c r="V21" i="159"/>
  <c r="V22" i="159" s="1"/>
  <c r="U21" i="159"/>
  <c r="U22" i="159" s="1"/>
  <c r="T21" i="159"/>
  <c r="S21" i="159"/>
  <c r="S22" i="159" s="1"/>
  <c r="R21" i="159"/>
  <c r="R22" i="159" s="1"/>
  <c r="Q21" i="159"/>
  <c r="Q22" i="159" s="1"/>
  <c r="P21" i="159"/>
  <c r="P22" i="159" s="1"/>
  <c r="O21" i="159"/>
  <c r="O22" i="159" s="1"/>
  <c r="N21" i="159"/>
  <c r="N22" i="159" s="1"/>
  <c r="M21" i="159"/>
  <c r="AH21" i="159" s="1"/>
  <c r="J21" i="159"/>
  <c r="AG20" i="159"/>
  <c r="AK20" i="159" s="1"/>
  <c r="M20" i="159"/>
  <c r="AH20" i="159" s="1"/>
  <c r="J20" i="159"/>
  <c r="AK19" i="159"/>
  <c r="AH19" i="159"/>
  <c r="AG19" i="159"/>
  <c r="M19" i="159"/>
  <c r="J19" i="159"/>
  <c r="AH18" i="159"/>
  <c r="AG18" i="159"/>
  <c r="AK18" i="159" s="1"/>
  <c r="M18" i="159"/>
  <c r="J18" i="159"/>
  <c r="AK17" i="159"/>
  <c r="AH17" i="159"/>
  <c r="AG17" i="159"/>
  <c r="M17" i="159"/>
  <c r="J17" i="159"/>
  <c r="AF16" i="159"/>
  <c r="AE16" i="159"/>
  <c r="AD16" i="159"/>
  <c r="AC16" i="159"/>
  <c r="AB16" i="159"/>
  <c r="AA16" i="159"/>
  <c r="Z16" i="159"/>
  <c r="Y16" i="159"/>
  <c r="X16" i="159"/>
  <c r="W16" i="159"/>
  <c r="V16" i="159"/>
  <c r="U16" i="159"/>
  <c r="T16" i="159"/>
  <c r="S16" i="159"/>
  <c r="R16" i="159"/>
  <c r="Q16" i="159"/>
  <c r="P16" i="159"/>
  <c r="O16" i="159"/>
  <c r="N16" i="159"/>
  <c r="AG16" i="159" s="1"/>
  <c r="AK16" i="159" s="1"/>
  <c r="M16" i="159"/>
  <c r="AH16" i="159" s="1"/>
  <c r="J16" i="159"/>
  <c r="AG15" i="159"/>
  <c r="AK15" i="159" s="1"/>
  <c r="J15" i="159"/>
  <c r="AG14" i="159"/>
  <c r="AK14" i="159" s="1"/>
  <c r="M14" i="159"/>
  <c r="AH14" i="159" s="1"/>
  <c r="J14" i="159"/>
  <c r="AH13" i="159"/>
  <c r="AF13" i="159"/>
  <c r="AE13" i="159"/>
  <c r="AD13" i="159"/>
  <c r="AC13" i="159"/>
  <c r="AB13" i="159"/>
  <c r="AA13" i="159"/>
  <c r="Z13" i="159"/>
  <c r="Y13" i="159"/>
  <c r="X13" i="159"/>
  <c r="W13" i="159"/>
  <c r="V13" i="159"/>
  <c r="U13" i="159"/>
  <c r="AG13" i="159" s="1"/>
  <c r="AK13" i="159" s="1"/>
  <c r="T13" i="159"/>
  <c r="S13" i="159"/>
  <c r="R13" i="159"/>
  <c r="Q13" i="159"/>
  <c r="P13" i="159"/>
  <c r="O13" i="159"/>
  <c r="N13" i="159"/>
  <c r="M13" i="159"/>
  <c r="J13" i="159"/>
  <c r="AK12" i="159"/>
  <c r="AH12" i="159"/>
  <c r="AG12" i="159"/>
  <c r="M12" i="159"/>
  <c r="J12" i="159"/>
  <c r="AK11" i="159"/>
  <c r="AG11" i="159"/>
  <c r="M11" i="159"/>
  <c r="AH11" i="159" s="1"/>
  <c r="J11" i="159"/>
  <c r="AH10" i="159"/>
  <c r="AF10" i="159"/>
  <c r="AE10" i="159"/>
  <c r="AD10" i="159"/>
  <c r="AC10" i="159"/>
  <c r="AB10" i="159"/>
  <c r="AA10" i="159"/>
  <c r="Z10" i="159"/>
  <c r="Y10" i="159"/>
  <c r="X10" i="159"/>
  <c r="W10" i="159"/>
  <c r="V10" i="159"/>
  <c r="U10" i="159"/>
  <c r="AG10" i="159" s="1"/>
  <c r="AK10" i="159" s="1"/>
  <c r="T10" i="159"/>
  <c r="S10" i="159"/>
  <c r="R10" i="159"/>
  <c r="Q10" i="159"/>
  <c r="P10" i="159"/>
  <c r="O10" i="159"/>
  <c r="N10" i="159"/>
  <c r="M10" i="159"/>
  <c r="J10" i="159"/>
  <c r="AH9" i="159"/>
  <c r="AG9" i="159"/>
  <c r="AK9" i="159" s="1"/>
  <c r="AF9" i="159"/>
  <c r="AE9" i="159"/>
  <c r="AD9" i="159"/>
  <c r="AC9" i="159"/>
  <c r="AB9" i="159"/>
  <c r="AA9" i="159"/>
  <c r="Z9" i="159"/>
  <c r="Y9" i="159"/>
  <c r="X9" i="159"/>
  <c r="W9" i="159"/>
  <c r="V9" i="159"/>
  <c r="U9" i="159"/>
  <c r="T9" i="159"/>
  <c r="S9" i="159"/>
  <c r="R9" i="159"/>
  <c r="Q9" i="159"/>
  <c r="P9" i="159"/>
  <c r="O9" i="159"/>
  <c r="N9" i="159"/>
  <c r="M9" i="159"/>
  <c r="J9" i="159"/>
  <c r="AH8" i="159"/>
  <c r="AG8" i="159"/>
  <c r="AK8" i="159" s="1"/>
  <c r="AF8" i="159"/>
  <c r="AE8" i="159"/>
  <c r="AD8" i="159"/>
  <c r="AC8" i="159"/>
  <c r="AB8" i="159"/>
  <c r="AA8" i="159"/>
  <c r="Z8" i="159"/>
  <c r="Y8" i="159"/>
  <c r="X8" i="159"/>
  <c r="W8" i="159"/>
  <c r="V8" i="159"/>
  <c r="U8" i="159"/>
  <c r="T8" i="159"/>
  <c r="S8" i="159"/>
  <c r="R8" i="159"/>
  <c r="Q8" i="159"/>
  <c r="P8" i="159"/>
  <c r="O8" i="159"/>
  <c r="N8" i="159"/>
  <c r="M8" i="159"/>
  <c r="J8" i="159"/>
  <c r="AH7" i="159"/>
  <c r="AF7" i="159"/>
  <c r="AE7" i="159"/>
  <c r="AD7" i="159"/>
  <c r="AC7" i="159"/>
  <c r="AB7" i="159"/>
  <c r="AA7" i="159"/>
  <c r="Z7" i="159"/>
  <c r="Y7" i="159"/>
  <c r="X7" i="159"/>
  <c r="W7" i="159"/>
  <c r="V7" i="159"/>
  <c r="U7" i="159"/>
  <c r="AG7" i="159" s="1"/>
  <c r="AK7" i="159" s="1"/>
  <c r="T7" i="159"/>
  <c r="S7" i="159"/>
  <c r="R7" i="159"/>
  <c r="Q7" i="159"/>
  <c r="P7" i="159"/>
  <c r="O7" i="159"/>
  <c r="N7" i="159"/>
  <c r="M7" i="159"/>
  <c r="J7" i="159"/>
  <c r="AH6" i="159"/>
  <c r="AG6" i="159"/>
  <c r="AK6" i="159" s="1"/>
  <c r="M6" i="159"/>
  <c r="J6" i="159"/>
  <c r="AG5" i="159"/>
  <c r="AK5" i="159" s="1"/>
  <c r="M5" i="159"/>
  <c r="AH5" i="159" s="1"/>
  <c r="J5" i="159"/>
  <c r="AG4" i="159"/>
  <c r="AK4" i="159" s="1"/>
  <c r="M4" i="159"/>
  <c r="AH4" i="159" s="1"/>
  <c r="J4" i="159"/>
  <c r="AK3" i="159"/>
  <c r="AH3" i="159"/>
  <c r="AG3" i="159"/>
  <c r="M3" i="159"/>
  <c r="J3" i="159"/>
  <c r="AI23" i="158"/>
  <c r="AM23" i="158" s="1"/>
  <c r="M23" i="158"/>
  <c r="AJ23" i="158" s="1"/>
  <c r="J23" i="158"/>
  <c r="AJ22" i="158"/>
  <c r="AF22" i="158"/>
  <c r="AE22" i="158"/>
  <c r="AB22" i="158"/>
  <c r="T22" i="158"/>
  <c r="S22" i="158"/>
  <c r="P22" i="158"/>
  <c r="M22" i="158"/>
  <c r="J22" i="158"/>
  <c r="AH21" i="158"/>
  <c r="AH22" i="158" s="1"/>
  <c r="AG21" i="158"/>
  <c r="AG22" i="158" s="1"/>
  <c r="AF21" i="158"/>
  <c r="AE21" i="158"/>
  <c r="AD21" i="158"/>
  <c r="AD22" i="158" s="1"/>
  <c r="AC21" i="158"/>
  <c r="AC22" i="158" s="1"/>
  <c r="AB21" i="158"/>
  <c r="AA21" i="158"/>
  <c r="AA22" i="158" s="1"/>
  <c r="Z21" i="158"/>
  <c r="Z22" i="158" s="1"/>
  <c r="Y21" i="158"/>
  <c r="Y22" i="158" s="1"/>
  <c r="X21" i="158"/>
  <c r="X22" i="158" s="1"/>
  <c r="W21" i="158"/>
  <c r="W22" i="158" s="1"/>
  <c r="V21" i="158"/>
  <c r="V22" i="158" s="1"/>
  <c r="U21" i="158"/>
  <c r="AI21" i="158" s="1"/>
  <c r="AM21" i="158" s="1"/>
  <c r="T21" i="158"/>
  <c r="S21" i="158"/>
  <c r="R21" i="158"/>
  <c r="R22" i="158" s="1"/>
  <c r="Q21" i="158"/>
  <c r="Q22" i="158" s="1"/>
  <c r="P21" i="158"/>
  <c r="O21" i="158"/>
  <c r="O22" i="158" s="1"/>
  <c r="N21" i="158"/>
  <c r="N22" i="158" s="1"/>
  <c r="M21" i="158"/>
  <c r="AJ21" i="158" s="1"/>
  <c r="J21" i="158"/>
  <c r="AJ20" i="158"/>
  <c r="AI20" i="158"/>
  <c r="AM20" i="158" s="1"/>
  <c r="M20" i="158"/>
  <c r="J20" i="158"/>
  <c r="AM19" i="158"/>
  <c r="AI19" i="158"/>
  <c r="M19" i="158"/>
  <c r="AJ19" i="158" s="1"/>
  <c r="J19" i="158"/>
  <c r="AI18" i="158"/>
  <c r="AM18" i="158" s="1"/>
  <c r="M18" i="158"/>
  <c r="AJ18" i="158" s="1"/>
  <c r="J18" i="158"/>
  <c r="AJ17" i="158"/>
  <c r="AI17" i="158"/>
  <c r="AM17" i="158" s="1"/>
  <c r="M17" i="158"/>
  <c r="J17" i="158"/>
  <c r="AJ16" i="158"/>
  <c r="AH16" i="158"/>
  <c r="AG16" i="158"/>
  <c r="AF16" i="158"/>
  <c r="AE16" i="158"/>
  <c r="AD16" i="158"/>
  <c r="AC16" i="158"/>
  <c r="AB16" i="158"/>
  <c r="AA16" i="158"/>
  <c r="Z16" i="158"/>
  <c r="Y16" i="158"/>
  <c r="X16" i="158"/>
  <c r="W16" i="158"/>
  <c r="V16" i="158"/>
  <c r="U16" i="158"/>
  <c r="T16" i="158"/>
  <c r="S16" i="158"/>
  <c r="AI16" i="158" s="1"/>
  <c r="AM16" i="158" s="1"/>
  <c r="R16" i="158"/>
  <c r="Q16" i="158"/>
  <c r="P16" i="158"/>
  <c r="O16" i="158"/>
  <c r="N16" i="158"/>
  <c r="M16" i="158"/>
  <c r="J16" i="158"/>
  <c r="AM15" i="158"/>
  <c r="AI15" i="158"/>
  <c r="J15" i="158"/>
  <c r="AM14" i="158"/>
  <c r="AJ14" i="158"/>
  <c r="AI14" i="158"/>
  <c r="M14" i="158"/>
  <c r="J14" i="158"/>
  <c r="AJ13" i="158"/>
  <c r="AH13" i="158"/>
  <c r="AG13" i="158"/>
  <c r="AF13" i="158"/>
  <c r="AE13" i="158"/>
  <c r="AD13" i="158"/>
  <c r="AC13" i="158"/>
  <c r="AB13" i="158"/>
  <c r="AA13" i="158"/>
  <c r="Z13" i="158"/>
  <c r="Y13" i="158"/>
  <c r="X13" i="158"/>
  <c r="W13" i="158"/>
  <c r="V13" i="158"/>
  <c r="U13" i="158"/>
  <c r="T13" i="158"/>
  <c r="S13" i="158"/>
  <c r="R13" i="158"/>
  <c r="Q13" i="158"/>
  <c r="P13" i="158"/>
  <c r="O13" i="158"/>
  <c r="N13" i="158"/>
  <c r="AI13" i="158" s="1"/>
  <c r="AM13" i="158" s="1"/>
  <c r="M13" i="158"/>
  <c r="J13" i="158"/>
  <c r="AI12" i="158"/>
  <c r="AM12" i="158" s="1"/>
  <c r="M12" i="158"/>
  <c r="AJ12" i="158" s="1"/>
  <c r="J12" i="158"/>
  <c r="AM11" i="158"/>
  <c r="AJ11" i="158"/>
  <c r="AI11" i="158"/>
  <c r="M11" i="158"/>
  <c r="J11" i="158"/>
  <c r="AJ10" i="158"/>
  <c r="AH10" i="158"/>
  <c r="AG10" i="158"/>
  <c r="AF10" i="158"/>
  <c r="AE10" i="158"/>
  <c r="AD10" i="158"/>
  <c r="AC10" i="158"/>
  <c r="AB10" i="158"/>
  <c r="AA10" i="158"/>
  <c r="Z10" i="158"/>
  <c r="Y10" i="158"/>
  <c r="X10" i="158"/>
  <c r="W10" i="158"/>
  <c r="V10" i="158"/>
  <c r="U10" i="158"/>
  <c r="T10" i="158"/>
  <c r="S10" i="158"/>
  <c r="R10" i="158"/>
  <c r="Q10" i="158"/>
  <c r="P10" i="158"/>
  <c r="O10" i="158"/>
  <c r="N10" i="158"/>
  <c r="AI10" i="158" s="1"/>
  <c r="AM10" i="158" s="1"/>
  <c r="M10" i="158"/>
  <c r="J10" i="158"/>
  <c r="AJ9" i="158"/>
  <c r="AH9" i="158"/>
  <c r="AG9" i="158"/>
  <c r="AF9" i="158"/>
  <c r="AE9" i="158"/>
  <c r="AD9" i="158"/>
  <c r="AC9" i="158"/>
  <c r="AB9" i="158"/>
  <c r="AA9" i="158"/>
  <c r="Z9" i="158"/>
  <c r="Y9" i="158"/>
  <c r="X9" i="158"/>
  <c r="W9" i="158"/>
  <c r="V9" i="158"/>
  <c r="U9" i="158"/>
  <c r="T9" i="158"/>
  <c r="S9" i="158"/>
  <c r="AI9" i="158" s="1"/>
  <c r="AM9" i="158" s="1"/>
  <c r="R9" i="158"/>
  <c r="Q9" i="158"/>
  <c r="P9" i="158"/>
  <c r="O9" i="158"/>
  <c r="N9" i="158"/>
  <c r="M9" i="158"/>
  <c r="J9" i="158"/>
  <c r="AH8" i="158"/>
  <c r="AG8" i="158"/>
  <c r="AF8" i="158"/>
  <c r="AE8" i="158"/>
  <c r="AD8" i="158"/>
  <c r="AC8" i="158"/>
  <c r="AB8" i="158"/>
  <c r="AA8" i="158"/>
  <c r="Z8" i="158"/>
  <c r="Y8" i="158"/>
  <c r="X8" i="158"/>
  <c r="W8" i="158"/>
  <c r="V8" i="158"/>
  <c r="U8" i="158"/>
  <c r="AI8" i="158" s="1"/>
  <c r="AM8" i="158" s="1"/>
  <c r="T8" i="158"/>
  <c r="S8" i="158"/>
  <c r="R8" i="158"/>
  <c r="Q8" i="158"/>
  <c r="P8" i="158"/>
  <c r="O8" i="158"/>
  <c r="N8" i="158"/>
  <c r="M8" i="158"/>
  <c r="AJ8" i="158" s="1"/>
  <c r="J8" i="158"/>
  <c r="AJ7" i="158"/>
  <c r="AI7" i="158"/>
  <c r="AM7" i="158" s="1"/>
  <c r="AH7" i="158"/>
  <c r="AG7" i="158"/>
  <c r="AF7" i="158"/>
  <c r="AE7" i="158"/>
  <c r="AD7" i="158"/>
  <c r="AC7" i="158"/>
  <c r="AB7" i="158"/>
  <c r="AA7" i="158"/>
  <c r="Z7" i="158"/>
  <c r="Y7" i="158"/>
  <c r="X7" i="158"/>
  <c r="W7" i="158"/>
  <c r="V7" i="158"/>
  <c r="U7" i="158"/>
  <c r="T7" i="158"/>
  <c r="S7" i="158"/>
  <c r="R7" i="158"/>
  <c r="Q7" i="158"/>
  <c r="P7" i="158"/>
  <c r="O7" i="158"/>
  <c r="N7" i="158"/>
  <c r="M7" i="158"/>
  <c r="J7" i="158"/>
  <c r="AM6" i="158"/>
  <c r="AI6" i="158"/>
  <c r="M6" i="158"/>
  <c r="AJ6" i="158" s="1"/>
  <c r="J6" i="158"/>
  <c r="AI5" i="158"/>
  <c r="AM5" i="158" s="1"/>
  <c r="M5" i="158"/>
  <c r="AJ5" i="158" s="1"/>
  <c r="J5" i="158"/>
  <c r="AJ4" i="158"/>
  <c r="AI4" i="158"/>
  <c r="AM4" i="158" s="1"/>
  <c r="M4" i="158"/>
  <c r="J4" i="158"/>
  <c r="AM3" i="158"/>
  <c r="AI3" i="158"/>
  <c r="M3" i="158"/>
  <c r="AJ3" i="158" s="1"/>
  <c r="J3" i="158"/>
  <c r="AK23" i="157"/>
  <c r="AJ23" i="157"/>
  <c r="AN23" i="157" s="1"/>
  <c r="M23" i="157"/>
  <c r="J23" i="157"/>
  <c r="AH22" i="157"/>
  <c r="AG22" i="157"/>
  <c r="AF22" i="157"/>
  <c r="Z22" i="157"/>
  <c r="V22" i="157"/>
  <c r="U22" i="157"/>
  <c r="T22" i="157"/>
  <c r="N22" i="157"/>
  <c r="M22" i="157"/>
  <c r="AK22" i="157" s="1"/>
  <c r="J22" i="157"/>
  <c r="AI21" i="157"/>
  <c r="AI22" i="157" s="1"/>
  <c r="AH21" i="157"/>
  <c r="AG21" i="157"/>
  <c r="AF21" i="157"/>
  <c r="AE21" i="157"/>
  <c r="AE22" i="157" s="1"/>
  <c r="AD21" i="157"/>
  <c r="AD22" i="157" s="1"/>
  <c r="AC21" i="157"/>
  <c r="AC22" i="157" s="1"/>
  <c r="AB21" i="157"/>
  <c r="AB22" i="157" s="1"/>
  <c r="AA21" i="157"/>
  <c r="AA22" i="157" s="1"/>
  <c r="Z21" i="157"/>
  <c r="Y21" i="157"/>
  <c r="Y22" i="157" s="1"/>
  <c r="X21" i="157"/>
  <c r="X22" i="157" s="1"/>
  <c r="W21" i="157"/>
  <c r="AJ21" i="157" s="1"/>
  <c r="AN21" i="157" s="1"/>
  <c r="V21" i="157"/>
  <c r="U21" i="157"/>
  <c r="T21" i="157"/>
  <c r="S21" i="157"/>
  <c r="S22" i="157" s="1"/>
  <c r="R21" i="157"/>
  <c r="R22" i="157" s="1"/>
  <c r="Q21" i="157"/>
  <c r="Q22" i="157" s="1"/>
  <c r="P21" i="157"/>
  <c r="P22" i="157" s="1"/>
  <c r="O21" i="157"/>
  <c r="O22" i="157" s="1"/>
  <c r="N21" i="157"/>
  <c r="M21" i="157"/>
  <c r="AK21" i="157" s="1"/>
  <c r="J21" i="157"/>
  <c r="AN20" i="157"/>
  <c r="AJ20" i="157"/>
  <c r="M20" i="157"/>
  <c r="AK20" i="157" s="1"/>
  <c r="J20" i="157"/>
  <c r="AK19" i="157"/>
  <c r="AJ19" i="157"/>
  <c r="AN19" i="157" s="1"/>
  <c r="M19" i="157"/>
  <c r="J19" i="157"/>
  <c r="AK18" i="157"/>
  <c r="AJ18" i="157"/>
  <c r="AN18" i="157" s="1"/>
  <c r="M18" i="157"/>
  <c r="J18" i="157"/>
  <c r="AJ17" i="157"/>
  <c r="AN17" i="157" s="1"/>
  <c r="M17" i="157"/>
  <c r="AK17" i="157" s="1"/>
  <c r="J17" i="157"/>
  <c r="AI16" i="157"/>
  <c r="AH16" i="157"/>
  <c r="AG16" i="157"/>
  <c r="AF16" i="157"/>
  <c r="AE16" i="157"/>
  <c r="AD16" i="157"/>
  <c r="AC16" i="157"/>
  <c r="AB16" i="157"/>
  <c r="AA16" i="157"/>
  <c r="Z16" i="157"/>
  <c r="Y16" i="157"/>
  <c r="X16" i="157"/>
  <c r="W16" i="157"/>
  <c r="V16" i="157"/>
  <c r="U16" i="157"/>
  <c r="T16" i="157"/>
  <c r="S16" i="157"/>
  <c r="R16" i="157"/>
  <c r="Q16" i="157"/>
  <c r="P16" i="157"/>
  <c r="O16" i="157"/>
  <c r="N16" i="157"/>
  <c r="AJ16" i="157" s="1"/>
  <c r="AN16" i="157" s="1"/>
  <c r="M16" i="157"/>
  <c r="AK16" i="157" s="1"/>
  <c r="J16" i="157"/>
  <c r="AJ15" i="157"/>
  <c r="AN15" i="157" s="1"/>
  <c r="J15" i="157"/>
  <c r="AN14" i="157"/>
  <c r="AJ14" i="157"/>
  <c r="M14" i="157"/>
  <c r="AK14" i="157" s="1"/>
  <c r="J14" i="157"/>
  <c r="AI13" i="157"/>
  <c r="AH13" i="157"/>
  <c r="AG13" i="157"/>
  <c r="AF13" i="157"/>
  <c r="AE13" i="157"/>
  <c r="AD13" i="157"/>
  <c r="AC13" i="157"/>
  <c r="AB13" i="157"/>
  <c r="AA13" i="157"/>
  <c r="Z13" i="157"/>
  <c r="Y13" i="157"/>
  <c r="X13" i="157"/>
  <c r="W13" i="157"/>
  <c r="V13" i="157"/>
  <c r="U13" i="157"/>
  <c r="T13" i="157"/>
  <c r="S13" i="157"/>
  <c r="R13" i="157"/>
  <c r="Q13" i="157"/>
  <c r="P13" i="157"/>
  <c r="O13" i="157"/>
  <c r="AJ13" i="157" s="1"/>
  <c r="AN13" i="157" s="1"/>
  <c r="N13" i="157"/>
  <c r="M13" i="157"/>
  <c r="AK13" i="157" s="1"/>
  <c r="J13" i="157"/>
  <c r="AK12" i="157"/>
  <c r="AJ12" i="157"/>
  <c r="AN12" i="157" s="1"/>
  <c r="M12" i="157"/>
  <c r="J12" i="157"/>
  <c r="AJ11" i="157"/>
  <c r="AN11" i="157" s="1"/>
  <c r="M11" i="157"/>
  <c r="AK11" i="157" s="1"/>
  <c r="J11" i="157"/>
  <c r="AI10" i="157"/>
  <c r="AH10" i="157"/>
  <c r="AG10" i="157"/>
  <c r="AF10" i="157"/>
  <c r="AE10" i="157"/>
  <c r="AD10" i="157"/>
  <c r="AC10" i="157"/>
  <c r="AB10" i="157"/>
  <c r="AA10" i="157"/>
  <c r="Z10" i="157"/>
  <c r="Y10" i="157"/>
  <c r="X10" i="157"/>
  <c r="W10" i="157"/>
  <c r="V10" i="157"/>
  <c r="U10" i="157"/>
  <c r="T10" i="157"/>
  <c r="S10" i="157"/>
  <c r="R10" i="157"/>
  <c r="Q10" i="157"/>
  <c r="P10" i="157"/>
  <c r="O10" i="157"/>
  <c r="N10" i="157"/>
  <c r="AJ10" i="157" s="1"/>
  <c r="AN10" i="157" s="1"/>
  <c r="M10" i="157"/>
  <c r="AK10" i="157" s="1"/>
  <c r="J10" i="157"/>
  <c r="AI9" i="157"/>
  <c r="AH9" i="157"/>
  <c r="AG9" i="157"/>
  <c r="AF9" i="157"/>
  <c r="AE9" i="157"/>
  <c r="AD9" i="157"/>
  <c r="AC9" i="157"/>
  <c r="AB9" i="157"/>
  <c r="AA9" i="157"/>
  <c r="Z9" i="157"/>
  <c r="Y9" i="157"/>
  <c r="X9" i="157"/>
  <c r="W9" i="157"/>
  <c r="V9" i="157"/>
  <c r="U9" i="157"/>
  <c r="T9" i="157"/>
  <c r="S9" i="157"/>
  <c r="R9" i="157"/>
  <c r="Q9" i="157"/>
  <c r="P9" i="157"/>
  <c r="O9" i="157"/>
  <c r="N9" i="157"/>
  <c r="AJ9" i="157" s="1"/>
  <c r="AN9" i="157" s="1"/>
  <c r="M9" i="157"/>
  <c r="AK9" i="157" s="1"/>
  <c r="J9" i="157"/>
  <c r="AI8" i="157"/>
  <c r="AH8" i="157"/>
  <c r="AG8" i="157"/>
  <c r="AF8" i="157"/>
  <c r="AE8" i="157"/>
  <c r="AD8" i="157"/>
  <c r="AC8" i="157"/>
  <c r="AB8" i="157"/>
  <c r="AA8" i="157"/>
  <c r="Z8" i="157"/>
  <c r="Y8" i="157"/>
  <c r="X8" i="157"/>
  <c r="W8" i="157"/>
  <c r="V8" i="157"/>
  <c r="U8" i="157"/>
  <c r="T8" i="157"/>
  <c r="S8" i="157"/>
  <c r="R8" i="157"/>
  <c r="Q8" i="157"/>
  <c r="P8" i="157"/>
  <c r="O8" i="157"/>
  <c r="N8" i="157"/>
  <c r="AJ8" i="157" s="1"/>
  <c r="AN8" i="157" s="1"/>
  <c r="M8" i="157"/>
  <c r="AK8" i="157" s="1"/>
  <c r="J8" i="157"/>
  <c r="AI7" i="157"/>
  <c r="AH7" i="157"/>
  <c r="AG7" i="157"/>
  <c r="AF7" i="157"/>
  <c r="AE7" i="157"/>
  <c r="AD7" i="157"/>
  <c r="AC7" i="157"/>
  <c r="AB7" i="157"/>
  <c r="AA7" i="157"/>
  <c r="Z7" i="157"/>
  <c r="Y7" i="157"/>
  <c r="X7" i="157"/>
  <c r="W7" i="157"/>
  <c r="V7" i="157"/>
  <c r="U7" i="157"/>
  <c r="T7" i="157"/>
  <c r="S7" i="157"/>
  <c r="R7" i="157"/>
  <c r="Q7" i="157"/>
  <c r="AJ7" i="157" s="1"/>
  <c r="AN7" i="157" s="1"/>
  <c r="P7" i="157"/>
  <c r="O7" i="157"/>
  <c r="N7" i="157"/>
  <c r="M7" i="157"/>
  <c r="AK7" i="157" s="1"/>
  <c r="J7" i="157"/>
  <c r="AJ6" i="157"/>
  <c r="AN6" i="157" s="1"/>
  <c r="M6" i="157"/>
  <c r="AK6" i="157" s="1"/>
  <c r="J6" i="157"/>
  <c r="AK5" i="157"/>
  <c r="AJ5" i="157"/>
  <c r="AN5" i="157" s="1"/>
  <c r="M5" i="157"/>
  <c r="J5" i="157"/>
  <c r="AN4" i="157"/>
  <c r="AJ4" i="157"/>
  <c r="M4" i="157"/>
  <c r="AK4" i="157" s="1"/>
  <c r="J4" i="157"/>
  <c r="AN3" i="157"/>
  <c r="AK3" i="157"/>
  <c r="AJ3" i="157"/>
  <c r="M3" i="157"/>
  <c r="J3" i="157"/>
  <c r="AD23" i="156"/>
  <c r="AH23" i="156" s="1"/>
  <c r="M23" i="156"/>
  <c r="AE23" i="156" s="1"/>
  <c r="J23" i="156"/>
  <c r="Z22" i="156"/>
  <c r="P22" i="156"/>
  <c r="O22" i="156"/>
  <c r="N22" i="156"/>
  <c r="M22" i="156"/>
  <c r="AE22" i="156" s="1"/>
  <c r="J22" i="156"/>
  <c r="AC21" i="156"/>
  <c r="AC22" i="156" s="1"/>
  <c r="AB21" i="156"/>
  <c r="AB22" i="156" s="1"/>
  <c r="AA21" i="156"/>
  <c r="AA22" i="156" s="1"/>
  <c r="Z21" i="156"/>
  <c r="Y21" i="156"/>
  <c r="Y22" i="156" s="1"/>
  <c r="X21" i="156"/>
  <c r="X22" i="156" s="1"/>
  <c r="W21" i="156"/>
  <c r="W22" i="156" s="1"/>
  <c r="V21" i="156"/>
  <c r="V22" i="156" s="1"/>
  <c r="U21" i="156"/>
  <c r="U22" i="156" s="1"/>
  <c r="T21" i="156"/>
  <c r="T22" i="156" s="1"/>
  <c r="S21" i="156"/>
  <c r="S22" i="156" s="1"/>
  <c r="R21" i="156"/>
  <c r="R22" i="156" s="1"/>
  <c r="Q21" i="156"/>
  <c r="P21" i="156"/>
  <c r="O21" i="156"/>
  <c r="N21" i="156"/>
  <c r="M21" i="156"/>
  <c r="AE21" i="156" s="1"/>
  <c r="J21" i="156"/>
  <c r="AD20" i="156"/>
  <c r="AH20" i="156" s="1"/>
  <c r="M20" i="156"/>
  <c r="AE20" i="156" s="1"/>
  <c r="J20" i="156"/>
  <c r="AH19" i="156"/>
  <c r="AD19" i="156"/>
  <c r="M19" i="156"/>
  <c r="AE19" i="156" s="1"/>
  <c r="J19" i="156"/>
  <c r="AD18" i="156"/>
  <c r="AH18" i="156" s="1"/>
  <c r="M18" i="156"/>
  <c r="AE18" i="156" s="1"/>
  <c r="J18" i="156"/>
  <c r="AD17" i="156"/>
  <c r="AH17" i="156" s="1"/>
  <c r="M17" i="156"/>
  <c r="AE17" i="156" s="1"/>
  <c r="J17" i="156"/>
  <c r="AC16" i="156"/>
  <c r="AB16" i="156"/>
  <c r="AA16" i="156"/>
  <c r="Z16" i="156"/>
  <c r="Y16" i="156"/>
  <c r="X16" i="156"/>
  <c r="W16" i="156"/>
  <c r="V16" i="156"/>
  <c r="U16" i="156"/>
  <c r="T16" i="156"/>
  <c r="S16" i="156"/>
  <c r="R16" i="156"/>
  <c r="Q16" i="156"/>
  <c r="P16" i="156"/>
  <c r="O16" i="156"/>
  <c r="N16" i="156"/>
  <c r="M16" i="156"/>
  <c r="AE16" i="156" s="1"/>
  <c r="J16" i="156"/>
  <c r="AD15" i="156"/>
  <c r="AH15" i="156" s="1"/>
  <c r="J15" i="156"/>
  <c r="AD14" i="156"/>
  <c r="AH14" i="156" s="1"/>
  <c r="M14" i="156"/>
  <c r="AE14" i="156" s="1"/>
  <c r="J14" i="156"/>
  <c r="AC13" i="156"/>
  <c r="AB13" i="156"/>
  <c r="AA13" i="156"/>
  <c r="Z13" i="156"/>
  <c r="Y13" i="156"/>
  <c r="X13" i="156"/>
  <c r="W13" i="156"/>
  <c r="V13" i="156"/>
  <c r="U13" i="156"/>
  <c r="T13" i="156"/>
  <c r="S13" i="156"/>
  <c r="R13" i="156"/>
  <c r="Q13" i="156"/>
  <c r="P13" i="156"/>
  <c r="O13" i="156"/>
  <c r="N13" i="156"/>
  <c r="M13" i="156"/>
  <c r="AE13" i="156" s="1"/>
  <c r="J13" i="156"/>
  <c r="AD12" i="156"/>
  <c r="AH12" i="156" s="1"/>
  <c r="M12" i="156"/>
  <c r="AE12" i="156" s="1"/>
  <c r="J12" i="156"/>
  <c r="AD11" i="156"/>
  <c r="AH11" i="156" s="1"/>
  <c r="M11" i="156"/>
  <c r="AE11" i="156" s="1"/>
  <c r="J11" i="156"/>
  <c r="AC10" i="156"/>
  <c r="AB10" i="156"/>
  <c r="AA10" i="156"/>
  <c r="Z10" i="156"/>
  <c r="Y10" i="156"/>
  <c r="X10" i="156"/>
  <c r="W10" i="156"/>
  <c r="V10" i="156"/>
  <c r="U10" i="156"/>
  <c r="T10" i="156"/>
  <c r="S10" i="156"/>
  <c r="R10" i="156"/>
  <c r="Q10" i="156"/>
  <c r="P10" i="156"/>
  <c r="O10" i="156"/>
  <c r="N10" i="156"/>
  <c r="M10" i="156"/>
  <c r="AE10" i="156" s="1"/>
  <c r="J10" i="156"/>
  <c r="AC9" i="156"/>
  <c r="AB9" i="156"/>
  <c r="AA9" i="156"/>
  <c r="Z9" i="156"/>
  <c r="Y9" i="156"/>
  <c r="X9" i="156"/>
  <c r="W9" i="156"/>
  <c r="V9" i="156"/>
  <c r="U9" i="156"/>
  <c r="T9" i="156"/>
  <c r="S9" i="156"/>
  <c r="R9" i="156"/>
  <c r="Q9" i="156"/>
  <c r="P9" i="156"/>
  <c r="O9" i="156"/>
  <c r="N9" i="156"/>
  <c r="M9" i="156"/>
  <c r="AE9" i="156" s="1"/>
  <c r="J9" i="156"/>
  <c r="AC8" i="156"/>
  <c r="AB8" i="156"/>
  <c r="AA8" i="156"/>
  <c r="Z8" i="156"/>
  <c r="Y8" i="156"/>
  <c r="X8" i="156"/>
  <c r="W8" i="156"/>
  <c r="V8" i="156"/>
  <c r="U8" i="156"/>
  <c r="T8" i="156"/>
  <c r="S8" i="156"/>
  <c r="R8" i="156"/>
  <c r="Q8" i="156"/>
  <c r="P8" i="156"/>
  <c r="O8" i="156"/>
  <c r="N8" i="156"/>
  <c r="M8" i="156"/>
  <c r="AE8" i="156" s="1"/>
  <c r="J8" i="156"/>
  <c r="AC7" i="156"/>
  <c r="AB7" i="156"/>
  <c r="AA7" i="156"/>
  <c r="Z7" i="156"/>
  <c r="Y7" i="156"/>
  <c r="X7" i="156"/>
  <c r="W7" i="156"/>
  <c r="V7" i="156"/>
  <c r="U7" i="156"/>
  <c r="T7" i="156"/>
  <c r="S7" i="156"/>
  <c r="R7" i="156"/>
  <c r="Q7" i="156"/>
  <c r="P7" i="156"/>
  <c r="O7" i="156"/>
  <c r="N7" i="156"/>
  <c r="M7" i="156"/>
  <c r="AE7" i="156" s="1"/>
  <c r="J7" i="156"/>
  <c r="AD6" i="156"/>
  <c r="AH6" i="156" s="1"/>
  <c r="M6" i="156"/>
  <c r="AE6" i="156" s="1"/>
  <c r="J6" i="156"/>
  <c r="AD5" i="156"/>
  <c r="AH5" i="156" s="1"/>
  <c r="M5" i="156"/>
  <c r="AE5" i="156" s="1"/>
  <c r="J5" i="156"/>
  <c r="AD4" i="156"/>
  <c r="AH4" i="156" s="1"/>
  <c r="M4" i="156"/>
  <c r="AE4" i="156" s="1"/>
  <c r="J4" i="156"/>
  <c r="AH3" i="156"/>
  <c r="AE3" i="156"/>
  <c r="AD3" i="156"/>
  <c r="M3" i="156"/>
  <c r="J3" i="156"/>
  <c r="AI23" i="155"/>
  <c r="AM23" i="155" s="1"/>
  <c r="M23" i="155"/>
  <c r="AJ23" i="155" s="1"/>
  <c r="J23" i="155"/>
  <c r="AJ22" i="155"/>
  <c r="AH22" i="155"/>
  <c r="AE22" i="155"/>
  <c r="X22" i="155"/>
  <c r="M22" i="155"/>
  <c r="J22" i="155"/>
  <c r="AH21" i="155"/>
  <c r="AG21" i="155"/>
  <c r="AG22" i="155" s="1"/>
  <c r="AF21" i="155"/>
  <c r="AF22" i="155" s="1"/>
  <c r="AE21" i="155"/>
  <c r="AD21" i="155"/>
  <c r="AD22" i="155" s="1"/>
  <c r="AC21" i="155"/>
  <c r="AC22" i="155" s="1"/>
  <c r="AB21" i="155"/>
  <c r="AB22" i="155" s="1"/>
  <c r="AA21" i="155"/>
  <c r="AA22" i="155" s="1"/>
  <c r="Z21" i="155"/>
  <c r="Z22" i="155" s="1"/>
  <c r="Y21" i="155"/>
  <c r="Y22" i="155" s="1"/>
  <c r="X21" i="155"/>
  <c r="W21" i="155"/>
  <c r="W22" i="155" s="1"/>
  <c r="V21" i="155"/>
  <c r="V22" i="155" s="1"/>
  <c r="U21" i="155"/>
  <c r="U22" i="155" s="1"/>
  <c r="T21" i="155"/>
  <c r="T22" i="155" s="1"/>
  <c r="S21" i="155"/>
  <c r="S22" i="155" s="1"/>
  <c r="R21" i="155"/>
  <c r="R22" i="155" s="1"/>
  <c r="Q21" i="155"/>
  <c r="Q22" i="155" s="1"/>
  <c r="P21" i="155"/>
  <c r="P22" i="155" s="1"/>
  <c r="O21" i="155"/>
  <c r="O22" i="155" s="1"/>
  <c r="N21" i="155"/>
  <c r="N22" i="155" s="1"/>
  <c r="M21" i="155"/>
  <c r="AJ21" i="155" s="1"/>
  <c r="J21" i="155"/>
  <c r="AI20" i="155"/>
  <c r="AM20" i="155" s="1"/>
  <c r="M20" i="155"/>
  <c r="AJ20" i="155" s="1"/>
  <c r="J20" i="155"/>
  <c r="AI19" i="155"/>
  <c r="AM19" i="155" s="1"/>
  <c r="M19" i="155"/>
  <c r="AJ19" i="155" s="1"/>
  <c r="J19" i="155"/>
  <c r="AM18" i="155"/>
  <c r="AI18" i="155"/>
  <c r="M18" i="155"/>
  <c r="AJ18" i="155" s="1"/>
  <c r="J18" i="155"/>
  <c r="AI17" i="155"/>
  <c r="AM17" i="155" s="1"/>
  <c r="M17" i="155"/>
  <c r="AJ17" i="155" s="1"/>
  <c r="J17" i="155"/>
  <c r="AJ16" i="155"/>
  <c r="AH16" i="155"/>
  <c r="AG16" i="155"/>
  <c r="AF16" i="155"/>
  <c r="AE16" i="155"/>
  <c r="AD16" i="155"/>
  <c r="AC16" i="155"/>
  <c r="AB16" i="155"/>
  <c r="AA16" i="155"/>
  <c r="Z16" i="155"/>
  <c r="Y16" i="155"/>
  <c r="X16" i="155"/>
  <c r="W16" i="155"/>
  <c r="V16" i="155"/>
  <c r="U16" i="155"/>
  <c r="T16" i="155"/>
  <c r="S16" i="155"/>
  <c r="R16" i="155"/>
  <c r="Q16" i="155"/>
  <c r="P16" i="155"/>
  <c r="O16" i="155"/>
  <c r="N16" i="155"/>
  <c r="M16" i="155"/>
  <c r="J16" i="155"/>
  <c r="AI15" i="155"/>
  <c r="AM15" i="155" s="1"/>
  <c r="J15" i="155"/>
  <c r="AI14" i="155"/>
  <c r="AM14" i="155" s="1"/>
  <c r="M14" i="155"/>
  <c r="AJ14" i="155" s="1"/>
  <c r="J14" i="155"/>
  <c r="AJ13" i="155"/>
  <c r="AH13" i="155"/>
  <c r="AG13" i="155"/>
  <c r="AF13" i="155"/>
  <c r="AE13" i="155"/>
  <c r="AD13" i="155"/>
  <c r="AC13" i="155"/>
  <c r="AB13" i="155"/>
  <c r="AA13" i="155"/>
  <c r="Z13" i="155"/>
  <c r="Y13" i="155"/>
  <c r="X13" i="155"/>
  <c r="W13" i="155"/>
  <c r="V13" i="155"/>
  <c r="U13" i="155"/>
  <c r="T13" i="155"/>
  <c r="S13" i="155"/>
  <c r="R13" i="155"/>
  <c r="Q13" i="155"/>
  <c r="P13" i="155"/>
  <c r="O13" i="155"/>
  <c r="N13" i="155"/>
  <c r="M13" i="155"/>
  <c r="J13" i="155"/>
  <c r="AI12" i="155"/>
  <c r="AM12" i="155" s="1"/>
  <c r="M12" i="155"/>
  <c r="AJ12" i="155" s="1"/>
  <c r="J12" i="155"/>
  <c r="AI11" i="155"/>
  <c r="AM11" i="155" s="1"/>
  <c r="M11" i="155"/>
  <c r="AJ11" i="155" s="1"/>
  <c r="J11" i="155"/>
  <c r="AH10" i="155"/>
  <c r="AG10" i="155"/>
  <c r="AF10" i="155"/>
  <c r="AE10" i="155"/>
  <c r="AD10" i="155"/>
  <c r="AC10" i="155"/>
  <c r="AB10" i="155"/>
  <c r="AA10" i="155"/>
  <c r="Z10" i="155"/>
  <c r="Y10" i="155"/>
  <c r="X10" i="155"/>
  <c r="W10" i="155"/>
  <c r="V10" i="155"/>
  <c r="U10" i="155"/>
  <c r="T10" i="155"/>
  <c r="S10" i="155"/>
  <c r="R10" i="155"/>
  <c r="Q10" i="155"/>
  <c r="P10" i="155"/>
  <c r="O10" i="155"/>
  <c r="N10" i="155"/>
  <c r="M10" i="155"/>
  <c r="AJ10" i="155" s="1"/>
  <c r="J10" i="155"/>
  <c r="AH9" i="155"/>
  <c r="AG9" i="155"/>
  <c r="AF9" i="155"/>
  <c r="AE9" i="155"/>
  <c r="AD9" i="155"/>
  <c r="AC9" i="155"/>
  <c r="AB9" i="155"/>
  <c r="AA9" i="155"/>
  <c r="Z9" i="155"/>
  <c r="Y9" i="155"/>
  <c r="X9" i="155"/>
  <c r="W9" i="155"/>
  <c r="V9" i="155"/>
  <c r="U9" i="155"/>
  <c r="T9" i="155"/>
  <c r="S9" i="155"/>
  <c r="R9" i="155"/>
  <c r="Q9" i="155"/>
  <c r="P9" i="155"/>
  <c r="O9" i="155"/>
  <c r="N9" i="155"/>
  <c r="AI9" i="155" s="1"/>
  <c r="AM9" i="155" s="1"/>
  <c r="M9" i="155"/>
  <c r="AJ9" i="155" s="1"/>
  <c r="J9" i="155"/>
  <c r="AH8" i="155"/>
  <c r="AG8" i="155"/>
  <c r="AF8" i="155"/>
  <c r="AE8" i="155"/>
  <c r="AD8" i="155"/>
  <c r="AC8" i="155"/>
  <c r="AB8" i="155"/>
  <c r="AA8" i="155"/>
  <c r="Z8" i="155"/>
  <c r="Y8" i="155"/>
  <c r="X8" i="155"/>
  <c r="W8" i="155"/>
  <c r="V8" i="155"/>
  <c r="U8" i="155"/>
  <c r="T8" i="155"/>
  <c r="S8" i="155"/>
  <c r="R8" i="155"/>
  <c r="Q8" i="155"/>
  <c r="P8" i="155"/>
  <c r="O8" i="155"/>
  <c r="N8" i="155"/>
  <c r="M8" i="155"/>
  <c r="AJ8" i="155" s="1"/>
  <c r="J8" i="155"/>
  <c r="AH7" i="155"/>
  <c r="AG7" i="155"/>
  <c r="AF7" i="155"/>
  <c r="AE7" i="155"/>
  <c r="AD7" i="155"/>
  <c r="AC7" i="155"/>
  <c r="AB7" i="155"/>
  <c r="AA7" i="155"/>
  <c r="Z7" i="155"/>
  <c r="Y7" i="155"/>
  <c r="X7" i="155"/>
  <c r="W7" i="155"/>
  <c r="V7" i="155"/>
  <c r="U7" i="155"/>
  <c r="T7" i="155"/>
  <c r="S7" i="155"/>
  <c r="R7" i="155"/>
  <c r="Q7" i="155"/>
  <c r="P7" i="155"/>
  <c r="O7" i="155"/>
  <c r="N7" i="155"/>
  <c r="M7" i="155"/>
  <c r="AJ7" i="155" s="1"/>
  <c r="J7" i="155"/>
  <c r="AM6" i="155"/>
  <c r="AJ6" i="155"/>
  <c r="AI6" i="155"/>
  <c r="M6" i="155"/>
  <c r="J6" i="155"/>
  <c r="AI5" i="155"/>
  <c r="AM5" i="155" s="1"/>
  <c r="M5" i="155"/>
  <c r="AJ5" i="155" s="1"/>
  <c r="J5" i="155"/>
  <c r="AI4" i="155"/>
  <c r="AM4" i="155" s="1"/>
  <c r="M4" i="155"/>
  <c r="AJ4" i="155" s="1"/>
  <c r="J4" i="155"/>
  <c r="AI3" i="155"/>
  <c r="AM3" i="155" s="1"/>
  <c r="M3" i="155"/>
  <c r="AJ3" i="155" s="1"/>
  <c r="J3" i="155"/>
  <c r="AK4" i="154"/>
  <c r="AK5" i="154"/>
  <c r="AK6" i="154"/>
  <c r="AK11" i="154"/>
  <c r="AK12" i="154"/>
  <c r="AK14" i="154"/>
  <c r="AK15" i="154"/>
  <c r="AK17" i="154"/>
  <c r="AK18" i="154"/>
  <c r="AK19" i="154"/>
  <c r="AK20" i="154"/>
  <c r="AH21" i="154"/>
  <c r="AH22" i="154" s="1"/>
  <c r="AH16" i="154"/>
  <c r="AH13" i="154"/>
  <c r="AG22" i="159" l="1"/>
  <c r="AK22" i="159" s="1"/>
  <c r="AG21" i="159"/>
  <c r="AK21" i="159" s="1"/>
  <c r="U22" i="158"/>
  <c r="AI22" i="158" s="1"/>
  <c r="AM22" i="158" s="1"/>
  <c r="W22" i="157"/>
  <c r="AJ22" i="157" s="1"/>
  <c r="AN22" i="157" s="1"/>
  <c r="AD9" i="156"/>
  <c r="AH9" i="156" s="1"/>
  <c r="AI10" i="155"/>
  <c r="AM10" i="155" s="1"/>
  <c r="AD7" i="156"/>
  <c r="AH7" i="156" s="1"/>
  <c r="AI7" i="155"/>
  <c r="AM7" i="155" s="1"/>
  <c r="AI8" i="155"/>
  <c r="AM8" i="155" s="1"/>
  <c r="AI16" i="155"/>
  <c r="AM16" i="155" s="1"/>
  <c r="AI22" i="155"/>
  <c r="AM22" i="155" s="1"/>
  <c r="AD21" i="156"/>
  <c r="AH21" i="156" s="1"/>
  <c r="AD8" i="156"/>
  <c r="AH8" i="156" s="1"/>
  <c r="AD10" i="156"/>
  <c r="AH10" i="156" s="1"/>
  <c r="AD13" i="156"/>
  <c r="AH13" i="156" s="1"/>
  <c r="AD16" i="156"/>
  <c r="AH16" i="156" s="1"/>
  <c r="AI13" i="155"/>
  <c r="AM13" i="155" s="1"/>
  <c r="Q22" i="156"/>
  <c r="AD22" i="156" s="1"/>
  <c r="AH22" i="156" s="1"/>
  <c r="AI21" i="155"/>
  <c r="AM21" i="155" s="1"/>
  <c r="O10" i="154"/>
  <c r="P10" i="154"/>
  <c r="Q10" i="154"/>
  <c r="R10" i="154"/>
  <c r="S10" i="154"/>
  <c r="T10" i="154"/>
  <c r="U10" i="154"/>
  <c r="V10" i="154"/>
  <c r="W10" i="154"/>
  <c r="X10" i="154"/>
  <c r="Y10" i="154"/>
  <c r="Z10" i="154"/>
  <c r="AA10" i="154"/>
  <c r="AB10" i="154"/>
  <c r="AC10" i="154"/>
  <c r="AD10" i="154"/>
  <c r="AE10" i="154"/>
  <c r="AF10" i="154"/>
  <c r="AG10" i="154"/>
  <c r="AH10" i="154"/>
  <c r="AI10" i="154"/>
  <c r="AJ10" i="154"/>
  <c r="N10" i="154"/>
  <c r="O9" i="154"/>
  <c r="P9" i="154"/>
  <c r="Q9" i="154"/>
  <c r="R9" i="154"/>
  <c r="S9" i="154"/>
  <c r="T9" i="154"/>
  <c r="U9" i="154"/>
  <c r="V9" i="154"/>
  <c r="W9" i="154"/>
  <c r="X9" i="154"/>
  <c r="Y9" i="154"/>
  <c r="Z9" i="154"/>
  <c r="AA9" i="154"/>
  <c r="AB9" i="154"/>
  <c r="AC9" i="154"/>
  <c r="AD9" i="154"/>
  <c r="AE9" i="154"/>
  <c r="AF9" i="154"/>
  <c r="AG9" i="154"/>
  <c r="AH9" i="154"/>
  <c r="AI9" i="154"/>
  <c r="AJ9" i="154"/>
  <c r="N9" i="154"/>
  <c r="N8" i="154"/>
  <c r="O8" i="154"/>
  <c r="P8" i="154"/>
  <c r="Q8" i="154"/>
  <c r="R8" i="154"/>
  <c r="S8" i="154"/>
  <c r="T8" i="154"/>
  <c r="U8" i="154"/>
  <c r="V8" i="154"/>
  <c r="W8" i="154"/>
  <c r="X8" i="154"/>
  <c r="Y8" i="154"/>
  <c r="Z8" i="154"/>
  <c r="AA8" i="154"/>
  <c r="AB8" i="154"/>
  <c r="AC8" i="154"/>
  <c r="AD8" i="154"/>
  <c r="AE8" i="154"/>
  <c r="AF8" i="154"/>
  <c r="AG8" i="154"/>
  <c r="AH8" i="154"/>
  <c r="AI8" i="154"/>
  <c r="AJ8" i="154"/>
  <c r="O7" i="154"/>
  <c r="P7" i="154"/>
  <c r="Q7" i="154"/>
  <c r="R7" i="154"/>
  <c r="S7" i="154"/>
  <c r="T7" i="154"/>
  <c r="U7" i="154"/>
  <c r="V7" i="154"/>
  <c r="W7" i="154"/>
  <c r="X7" i="154"/>
  <c r="Y7" i="154"/>
  <c r="Z7" i="154"/>
  <c r="AA7" i="154"/>
  <c r="AB7" i="154"/>
  <c r="AC7" i="154"/>
  <c r="AD7" i="154"/>
  <c r="AE7" i="154"/>
  <c r="AF7" i="154"/>
  <c r="AG7" i="154"/>
  <c r="AH7" i="154"/>
  <c r="AI7" i="154"/>
  <c r="AJ7" i="154"/>
  <c r="N7" i="154"/>
  <c r="AK10" i="154" l="1"/>
  <c r="AK7" i="154"/>
  <c r="AK8" i="154"/>
  <c r="AK9" i="154"/>
  <c r="S13" i="154"/>
  <c r="T13" i="154"/>
  <c r="U13" i="154"/>
  <c r="V13" i="154"/>
  <c r="W13" i="154"/>
  <c r="X13" i="154"/>
  <c r="Y13" i="154"/>
  <c r="Z13" i="154"/>
  <c r="AA13" i="154"/>
  <c r="AB13" i="154"/>
  <c r="AC13" i="154"/>
  <c r="AD13" i="154"/>
  <c r="AE13" i="154"/>
  <c r="AF13" i="154"/>
  <c r="AG13" i="154"/>
  <c r="AI13" i="154"/>
  <c r="AJ13" i="154"/>
  <c r="S16" i="154"/>
  <c r="T16" i="154"/>
  <c r="U16" i="154"/>
  <c r="V16" i="154"/>
  <c r="W16" i="154"/>
  <c r="X16" i="154"/>
  <c r="Y16" i="154"/>
  <c r="Z16" i="154"/>
  <c r="AA16" i="154"/>
  <c r="AB16" i="154"/>
  <c r="AC16" i="154"/>
  <c r="AD16" i="154"/>
  <c r="AE16" i="154"/>
  <c r="AF16" i="154"/>
  <c r="AG16" i="154"/>
  <c r="AI16" i="154"/>
  <c r="AJ16" i="154"/>
  <c r="AO4" i="154" l="1"/>
  <c r="AO5" i="154"/>
  <c r="AO11" i="154"/>
  <c r="AO12" i="154"/>
  <c r="AO14" i="154"/>
  <c r="AO15" i="154"/>
  <c r="AO17" i="154"/>
  <c r="AO18" i="154"/>
  <c r="AO19" i="154"/>
  <c r="AO20" i="154"/>
  <c r="V21" i="154"/>
  <c r="V22" i="154" s="1"/>
  <c r="W21" i="154"/>
  <c r="W22" i="154" s="1"/>
  <c r="X21" i="154"/>
  <c r="X22" i="154" s="1"/>
  <c r="Y21" i="154"/>
  <c r="Y22" i="154" s="1"/>
  <c r="Z21" i="154"/>
  <c r="Z22" i="154" s="1"/>
  <c r="AA21" i="154"/>
  <c r="AA22" i="154" s="1"/>
  <c r="AK3" i="154"/>
  <c r="M22" i="154" l="1"/>
  <c r="AL22" i="154" s="1"/>
  <c r="J22" i="154"/>
  <c r="AJ21" i="154"/>
  <c r="AJ22" i="154" s="1"/>
  <c r="AI21" i="154"/>
  <c r="AI22" i="154" s="1"/>
  <c r="AG21" i="154"/>
  <c r="AG22" i="154" s="1"/>
  <c r="AF21" i="154"/>
  <c r="AF22" i="154" s="1"/>
  <c r="AE21" i="154"/>
  <c r="AE22" i="154" s="1"/>
  <c r="AD21" i="154"/>
  <c r="AD22" i="154" s="1"/>
  <c r="AC21" i="154"/>
  <c r="AC22" i="154" s="1"/>
  <c r="AB21" i="154"/>
  <c r="AB22" i="154" s="1"/>
  <c r="U21" i="154"/>
  <c r="U22" i="154" s="1"/>
  <c r="T21" i="154"/>
  <c r="T22" i="154" s="1"/>
  <c r="S21" i="154"/>
  <c r="S22" i="154" s="1"/>
  <c r="R21" i="154"/>
  <c r="R22" i="154" s="1"/>
  <c r="Q21" i="154"/>
  <c r="Q22" i="154" s="1"/>
  <c r="P21" i="154"/>
  <c r="P22" i="154" s="1"/>
  <c r="O21" i="154"/>
  <c r="O22" i="154" s="1"/>
  <c r="N21" i="154"/>
  <c r="M21" i="154"/>
  <c r="AL21" i="154" s="1"/>
  <c r="J21" i="154"/>
  <c r="M20" i="154"/>
  <c r="AL20" i="154" s="1"/>
  <c r="J20" i="154"/>
  <c r="M19" i="154"/>
  <c r="AL19" i="154" s="1"/>
  <c r="J19" i="154"/>
  <c r="M18" i="154"/>
  <c r="AL18" i="154" s="1"/>
  <c r="J18" i="154"/>
  <c r="M17" i="154"/>
  <c r="AL17" i="154" s="1"/>
  <c r="J17" i="154"/>
  <c r="R16" i="154"/>
  <c r="Q16" i="154"/>
  <c r="P16" i="154"/>
  <c r="O16" i="154"/>
  <c r="N16" i="154"/>
  <c r="M16" i="154"/>
  <c r="AL16" i="154" s="1"/>
  <c r="J16" i="154"/>
  <c r="J15" i="154"/>
  <c r="M14" i="154"/>
  <c r="AL14" i="154" s="1"/>
  <c r="J14" i="154"/>
  <c r="R13" i="154"/>
  <c r="Q13" i="154"/>
  <c r="P13" i="154"/>
  <c r="O13" i="154"/>
  <c r="N13" i="154"/>
  <c r="AK13" i="154" s="1"/>
  <c r="M13" i="154"/>
  <c r="AL13" i="154" s="1"/>
  <c r="J13" i="154"/>
  <c r="M12" i="154"/>
  <c r="AL12" i="154" s="1"/>
  <c r="J12" i="154"/>
  <c r="M11" i="154"/>
  <c r="AL11" i="154" s="1"/>
  <c r="J11" i="154"/>
  <c r="M10" i="154"/>
  <c r="AL10" i="154" s="1"/>
  <c r="J10" i="154"/>
  <c r="M9" i="154"/>
  <c r="AL9" i="154" s="1"/>
  <c r="J9" i="154"/>
  <c r="M8" i="154"/>
  <c r="AL8" i="154" s="1"/>
  <c r="J8" i="154"/>
  <c r="M7" i="154"/>
  <c r="AL7" i="154" s="1"/>
  <c r="J7" i="154"/>
  <c r="M6" i="154"/>
  <c r="AL6" i="154" s="1"/>
  <c r="J6" i="154"/>
  <c r="M5" i="154"/>
  <c r="AL5" i="154" s="1"/>
  <c r="J5" i="154"/>
  <c r="M4" i="154"/>
  <c r="AL4" i="154" s="1"/>
  <c r="J4" i="154"/>
  <c r="AO3" i="154"/>
  <c r="M3" i="154"/>
  <c r="AL3" i="154" s="1"/>
  <c r="J3" i="154"/>
  <c r="AK21" i="154" l="1"/>
  <c r="AK16" i="154"/>
  <c r="AO9" i="154"/>
  <c r="AO8" i="154"/>
  <c r="AO7" i="154"/>
  <c r="AO6" i="154"/>
  <c r="AO21" i="154"/>
  <c r="AO10" i="154"/>
  <c r="AO13" i="154"/>
  <c r="AO16" i="154"/>
  <c r="N22" i="154"/>
  <c r="AK22" i="154" l="1"/>
  <c r="AO22" i="154" s="1"/>
  <c r="G11" i="1"/>
  <c r="G10" i="1"/>
  <c r="J9" i="1"/>
  <c r="G9" i="1"/>
  <c r="I8" i="1"/>
  <c r="J8" i="1" s="1"/>
  <c r="G8" i="1"/>
  <c r="J7" i="1"/>
  <c r="G7" i="1"/>
  <c r="F6" i="1"/>
  <c r="G6" i="1" s="1"/>
  <c r="J5" i="1"/>
  <c r="G5" i="1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14" i="5"/>
  <c r="J13" i="5"/>
  <c r="G13" i="5"/>
  <c r="J12" i="5"/>
  <c r="G12" i="5"/>
  <c r="J11" i="5"/>
  <c r="G11" i="5"/>
  <c r="I10" i="5"/>
  <c r="J10" i="5" s="1"/>
  <c r="G10" i="5"/>
  <c r="J9" i="5"/>
  <c r="G9" i="5"/>
  <c r="J8" i="5"/>
  <c r="G8" i="5"/>
  <c r="J7" i="5"/>
  <c r="G7" i="5"/>
  <c r="J6" i="5"/>
  <c r="G6" i="5"/>
  <c r="J5" i="5"/>
  <c r="G5" i="5"/>
  <c r="G20" i="23"/>
  <c r="F20" i="23"/>
  <c r="E20" i="23"/>
  <c r="J18" i="23"/>
  <c r="J17" i="23"/>
  <c r="J16" i="23"/>
  <c r="H15" i="23"/>
  <c r="J15" i="23" s="1"/>
  <c r="J14" i="23"/>
  <c r="I13" i="23"/>
  <c r="H13" i="23"/>
  <c r="I12" i="23"/>
  <c r="H12" i="23"/>
  <c r="I11" i="23"/>
  <c r="H11" i="23"/>
  <c r="I10" i="23"/>
  <c r="H10" i="23"/>
  <c r="I9" i="23"/>
  <c r="H9" i="23"/>
  <c r="I8" i="23"/>
  <c r="H8" i="23"/>
  <c r="J8" i="23" s="1"/>
  <c r="I7" i="23"/>
  <c r="H7" i="23"/>
  <c r="I6" i="23"/>
  <c r="H6" i="23"/>
  <c r="K20" i="22"/>
  <c r="H20" i="22"/>
  <c r="G20" i="22"/>
  <c r="F20" i="22"/>
  <c r="E20" i="22"/>
  <c r="L18" i="22"/>
  <c r="L17" i="22"/>
  <c r="L16" i="22"/>
  <c r="I15" i="22"/>
  <c r="L15" i="22" s="1"/>
  <c r="L14" i="22"/>
  <c r="J13" i="22"/>
  <c r="I13" i="22"/>
  <c r="J12" i="22"/>
  <c r="I12" i="22"/>
  <c r="J11" i="22"/>
  <c r="I11" i="22"/>
  <c r="J10" i="22"/>
  <c r="L10" i="22" s="1"/>
  <c r="J9" i="22"/>
  <c r="I9" i="22"/>
  <c r="J8" i="22"/>
  <c r="I8" i="22"/>
  <c r="J7" i="22"/>
  <c r="L7" i="22" s="1"/>
  <c r="J6" i="22"/>
  <c r="L6" i="22" s="1"/>
  <c r="K20" i="21"/>
  <c r="H20" i="21"/>
  <c r="G20" i="21"/>
  <c r="F20" i="21"/>
  <c r="L18" i="21"/>
  <c r="L17" i="21"/>
  <c r="L16" i="21"/>
  <c r="L15" i="21"/>
  <c r="L14" i="21"/>
  <c r="I13" i="21"/>
  <c r="L13" i="21" s="1"/>
  <c r="I12" i="21"/>
  <c r="L12" i="21" s="1"/>
  <c r="I11" i="21"/>
  <c r="L11" i="21" s="1"/>
  <c r="I10" i="21"/>
  <c r="I9" i="21"/>
  <c r="L9" i="21" s="1"/>
  <c r="I8" i="21"/>
  <c r="L8" i="21" s="1"/>
  <c r="I7" i="21"/>
  <c r="L7" i="21" s="1"/>
  <c r="I6" i="21"/>
  <c r="L6" i="21" s="1"/>
  <c r="K20" i="20"/>
  <c r="H20" i="20"/>
  <c r="G20" i="20"/>
  <c r="F20" i="20"/>
  <c r="E20" i="20"/>
  <c r="L18" i="20"/>
  <c r="L17" i="20"/>
  <c r="L16" i="20"/>
  <c r="L15" i="20"/>
  <c r="L14" i="20"/>
  <c r="L13" i="20"/>
  <c r="I12" i="20"/>
  <c r="L12" i="20" s="1"/>
  <c r="L11" i="20"/>
  <c r="L10" i="20"/>
  <c r="L9" i="20"/>
  <c r="L8" i="20"/>
  <c r="L7" i="20"/>
  <c r="L6" i="20"/>
  <c r="J20" i="19"/>
  <c r="H20" i="19"/>
  <c r="G20" i="19"/>
  <c r="E20" i="19"/>
  <c r="K18" i="19"/>
  <c r="F17" i="19"/>
  <c r="K17" i="19" s="1"/>
  <c r="K16" i="19"/>
  <c r="I15" i="19"/>
  <c r="K15" i="19" s="1"/>
  <c r="K14" i="19"/>
  <c r="I13" i="19"/>
  <c r="F13" i="19"/>
  <c r="I12" i="19"/>
  <c r="F12" i="19"/>
  <c r="I11" i="19"/>
  <c r="K11" i="19" s="1"/>
  <c r="F10" i="19"/>
  <c r="K10" i="19" s="1"/>
  <c r="I9" i="19"/>
  <c r="F9" i="19"/>
  <c r="I8" i="19"/>
  <c r="F8" i="19"/>
  <c r="I7" i="19"/>
  <c r="F7" i="19"/>
  <c r="I6" i="19"/>
  <c r="F6" i="19"/>
  <c r="J20" i="17"/>
  <c r="H20" i="17"/>
  <c r="G20" i="17"/>
  <c r="F20" i="17"/>
  <c r="K18" i="17"/>
  <c r="K17" i="17"/>
  <c r="K16" i="17"/>
  <c r="K15" i="17"/>
  <c r="K14" i="17"/>
  <c r="I13" i="17"/>
  <c r="K13" i="17"/>
  <c r="I12" i="17"/>
  <c r="K12" i="17" s="1"/>
  <c r="K11" i="17"/>
  <c r="K10" i="17"/>
  <c r="I9" i="17"/>
  <c r="K9" i="17" s="1"/>
  <c r="K8" i="17"/>
  <c r="K7" i="17"/>
  <c r="K6" i="17"/>
  <c r="H20" i="16"/>
  <c r="G20" i="16"/>
  <c r="F20" i="16"/>
  <c r="K18" i="16"/>
  <c r="K17" i="16"/>
  <c r="K16" i="16"/>
  <c r="K15" i="16"/>
  <c r="K14" i="16"/>
  <c r="I13" i="16"/>
  <c r="K13" i="16" s="1"/>
  <c r="I12" i="16"/>
  <c r="K12" i="16" s="1"/>
  <c r="I11" i="16"/>
  <c r="K11" i="16" s="1"/>
  <c r="I10" i="16"/>
  <c r="K10" i="16" s="1"/>
  <c r="I9" i="16"/>
  <c r="K9" i="16" s="1"/>
  <c r="I8" i="16"/>
  <c r="K8" i="16" s="1"/>
  <c r="K7" i="16"/>
  <c r="J6" i="16"/>
  <c r="I6" i="16"/>
  <c r="J6" i="23" l="1"/>
  <c r="K7" i="19"/>
  <c r="L11" i="22"/>
  <c r="J9" i="23"/>
  <c r="K8" i="19"/>
  <c r="J12" i="23"/>
  <c r="L9" i="22"/>
  <c r="K6" i="16"/>
  <c r="I20" i="20"/>
  <c r="J6" i="1"/>
  <c r="K12" i="19"/>
  <c r="K6" i="19"/>
  <c r="I20" i="21"/>
  <c r="L13" i="22"/>
  <c r="I20" i="19"/>
  <c r="K9" i="19"/>
  <c r="K13" i="19"/>
  <c r="L20" i="20"/>
  <c r="K20" i="17"/>
  <c r="I20" i="16"/>
  <c r="J10" i="23"/>
  <c r="J20" i="16"/>
  <c r="K20" i="16"/>
  <c r="L12" i="22"/>
  <c r="J11" i="23"/>
  <c r="F20" i="19"/>
  <c r="L8" i="22"/>
  <c r="H20" i="23"/>
  <c r="I20" i="23"/>
  <c r="J13" i="23"/>
  <c r="I20" i="22"/>
  <c r="L10" i="21"/>
  <c r="L20" i="21" s="1"/>
  <c r="J7" i="23"/>
  <c r="I20" i="17"/>
  <c r="K20" i="19" l="1"/>
  <c r="L20" i="22"/>
  <c r="J2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6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其中12*1510*3500的1张
12*1510*200  1张</t>
        </r>
      </text>
    </comment>
    <comment ref="F9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dell:
其中6*1510*1100  1张
6*1510*200  1张
其中7张板调库</t>
        </r>
      </text>
    </comment>
    <comment ref="J9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欧顺退顺10张2015年3月12日</t>
        </r>
      </text>
    </comment>
    <comment ref="F10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其中1张板是调库</t>
        </r>
      </text>
    </comment>
    <comment ref="I11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其中1张板是调库</t>
        </r>
      </text>
    </comment>
    <comment ref="I15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其中7张板是调库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J10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6月26日实发7张，出库5张，内有2张是欧顺的板子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I6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2月20日发欧顺</t>
        </r>
      </text>
    </comment>
    <comment ref="I10" authorId="1" shapeId="0" xr:uid="{00000000-0006-0000-0800-000002000000}">
      <text>
        <r>
          <rPr>
            <b/>
            <sz val="9"/>
            <rFont val="宋体"/>
            <family val="3"/>
            <charset val="134"/>
          </rPr>
          <t>Administrator:
4月25日发欧顺
2月20日发欧顺</t>
        </r>
      </text>
    </comment>
    <comment ref="I11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dell:</t>
        </r>
        <r>
          <rPr>
            <sz val="9"/>
            <rFont val="宋体"/>
            <family val="3"/>
            <charset val="134"/>
          </rPr>
          <t xml:space="preserve">
2月20日发欧顺</t>
        </r>
      </text>
    </comment>
    <comment ref="I13" authorId="1" shapeId="0" xr:uid="{00000000-0006-0000-0800-000004000000}">
      <text>
        <r>
          <rPr>
            <b/>
            <sz val="9"/>
            <rFont val="宋体"/>
            <family val="3"/>
            <charset val="134"/>
          </rPr>
          <t>Administrator:
4月25日发欧顺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3/4发震源1</t>
        </r>
      </text>
    </comment>
    <comment ref="I6" authorId="0" shapeId="0" xr:uid="{00000000-0006-0000-0A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3/4发震源6</t>
        </r>
      </text>
    </comment>
    <comment ref="I7" authorId="0" shapeId="0" xr:uid="{00000000-0006-0000-0A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3/4发震源1</t>
        </r>
      </text>
    </comment>
    <comment ref="I8" authorId="0" shapeId="0" xr:uid="{00000000-0006-0000-0A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2/20发欧顺80,
3/4发震源5</t>
        </r>
      </text>
    </comment>
  </commentList>
</comments>
</file>

<file path=xl/sharedStrings.xml><?xml version="1.0" encoding="utf-8"?>
<sst xmlns="http://schemas.openxmlformats.org/spreadsheetml/2006/main" count="1197" uniqueCount="139">
  <si>
    <t>板材结存数量</t>
  </si>
  <si>
    <t>更新日期：2015年   月   日</t>
  </si>
  <si>
    <t>序号</t>
  </si>
  <si>
    <t>名称</t>
  </si>
  <si>
    <t>规格型号</t>
  </si>
  <si>
    <t>单位</t>
  </si>
  <si>
    <t>结存数量</t>
  </si>
  <si>
    <t>开平板</t>
  </si>
  <si>
    <t>12*1510*3000</t>
  </si>
  <si>
    <t>张</t>
  </si>
  <si>
    <t>10*1510*3000</t>
  </si>
  <si>
    <t>8*1510*3000</t>
  </si>
  <si>
    <t>6*1510*3000</t>
  </si>
  <si>
    <t>5*1510*3000</t>
  </si>
  <si>
    <t>4*1510*3000</t>
  </si>
  <si>
    <t>3*1500*3000</t>
  </si>
  <si>
    <t>冷板</t>
  </si>
  <si>
    <t>2*1250*2500</t>
  </si>
  <si>
    <t>3*1250*2500</t>
  </si>
  <si>
    <t>低合金</t>
  </si>
  <si>
    <r>
      <rPr>
        <b/>
        <sz val="20"/>
        <rFont val="宋体"/>
        <family val="3"/>
        <charset val="134"/>
      </rPr>
      <t>201</t>
    </r>
    <r>
      <rPr>
        <b/>
        <sz val="20"/>
        <rFont val="宋体"/>
        <family val="3"/>
        <charset val="134"/>
      </rPr>
      <t>5</t>
    </r>
    <r>
      <rPr>
        <b/>
        <sz val="20"/>
        <rFont val="宋体"/>
        <family val="3"/>
        <charset val="134"/>
      </rPr>
      <t>年原材料1</t>
    </r>
    <r>
      <rPr>
        <b/>
        <sz val="20"/>
        <rFont val="宋体"/>
        <family val="3"/>
        <charset val="134"/>
      </rPr>
      <t>月收发明细表</t>
    </r>
  </si>
  <si>
    <t>上月结存</t>
  </si>
  <si>
    <t>本月购进</t>
  </si>
  <si>
    <t>本月耗用</t>
  </si>
  <si>
    <t>本月结存</t>
  </si>
  <si>
    <t>数量</t>
  </si>
  <si>
    <t xml:space="preserve"> 发俊飞数量</t>
  </si>
  <si>
    <t xml:space="preserve"> 发欧顺数量</t>
  </si>
  <si>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*1500*3000</t>
    </r>
  </si>
  <si>
    <r>
      <rPr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*1250*2500</t>
    </r>
  </si>
  <si>
    <r>
      <rPr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*1250*2500</t>
    </r>
  </si>
  <si>
    <r>
      <rPr>
        <sz val="12"/>
        <rFont val="宋体"/>
        <family val="3"/>
        <charset val="134"/>
      </rPr>
      <t>6</t>
    </r>
    <r>
      <rPr>
        <sz val="12"/>
        <rFont val="宋体"/>
        <family val="3"/>
        <charset val="134"/>
      </rPr>
      <t>*1510*</t>
    </r>
    <r>
      <rPr>
        <sz val="12"/>
        <rFont val="宋体"/>
        <family val="3"/>
        <charset val="134"/>
      </rPr>
      <t>3000</t>
    </r>
  </si>
  <si>
    <r>
      <rPr>
        <sz val="12"/>
        <rFont val="宋体"/>
        <family val="3"/>
        <charset val="134"/>
      </rPr>
      <t>8*1510*</t>
    </r>
    <r>
      <rPr>
        <sz val="12"/>
        <rFont val="宋体"/>
        <family val="3"/>
        <charset val="134"/>
      </rPr>
      <t>3000</t>
    </r>
  </si>
  <si>
    <r>
      <rPr>
        <sz val="12"/>
        <rFont val="宋体"/>
        <family val="3"/>
        <charset val="134"/>
      </rPr>
      <t>10*1510*</t>
    </r>
    <r>
      <rPr>
        <sz val="12"/>
        <rFont val="宋体"/>
        <family val="3"/>
        <charset val="134"/>
      </rPr>
      <t>3000</t>
    </r>
  </si>
  <si>
    <r>
      <rPr>
        <sz val="12"/>
        <rFont val="宋体"/>
        <family val="3"/>
        <charset val="134"/>
      </rPr>
      <t>12*1510*</t>
    </r>
    <r>
      <rPr>
        <sz val="12"/>
        <rFont val="宋体"/>
        <family val="3"/>
        <charset val="134"/>
      </rPr>
      <t>3000</t>
    </r>
  </si>
  <si>
    <t>合计</t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</si>
  <si>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2</t>
    </r>
    <r>
      <rPr>
        <b/>
        <sz val="20"/>
        <rFont val="宋体"/>
        <family val="3"/>
        <charset val="134"/>
      </rPr>
      <t>月收发明细表</t>
    </r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</si>
  <si>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3</t>
    </r>
    <r>
      <rPr>
        <b/>
        <sz val="20"/>
        <rFont val="宋体"/>
        <family val="3"/>
        <charset val="134"/>
      </rPr>
      <t>月收发明细表</t>
    </r>
  </si>
  <si>
    <r>
      <rPr>
        <sz val="12"/>
        <rFont val="宋体"/>
        <family val="3"/>
        <charset val="134"/>
      </rPr>
      <t>3月</t>
    </r>
    <r>
      <rPr>
        <sz val="12"/>
        <rFont val="宋体"/>
        <family val="3"/>
        <charset val="134"/>
      </rPr>
      <t>20日来料， 12和6的板材各有两张长短不一样的</t>
    </r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</si>
  <si>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4</t>
    </r>
    <r>
      <rPr>
        <b/>
        <sz val="20"/>
        <rFont val="宋体"/>
        <family val="3"/>
        <charset val="134"/>
      </rPr>
      <t>月收发明细表</t>
    </r>
  </si>
  <si>
    <t>发震源</t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</si>
  <si>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5</t>
    </r>
    <r>
      <rPr>
        <b/>
        <sz val="20"/>
        <rFont val="宋体"/>
        <family val="3"/>
        <charset val="134"/>
      </rPr>
      <t>月收发明细表</t>
    </r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</si>
  <si>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6</t>
    </r>
    <r>
      <rPr>
        <b/>
        <sz val="20"/>
        <rFont val="宋体"/>
        <family val="3"/>
        <charset val="134"/>
      </rPr>
      <t>月收发明细表</t>
    </r>
  </si>
  <si>
    <r>
      <rPr>
        <sz val="12"/>
        <rFont val="宋体"/>
        <family val="3"/>
        <charset val="134"/>
      </rPr>
      <t>多2张欧顺的，出库时少出</t>
    </r>
    <r>
      <rPr>
        <sz val="12"/>
        <rFont val="宋体"/>
        <family val="3"/>
        <charset val="134"/>
      </rPr>
      <t>2张就可以了，不用入库</t>
    </r>
  </si>
  <si>
    <r>
      <rPr>
        <b/>
        <sz val="20"/>
        <rFont val="宋体"/>
        <family val="3"/>
        <charset val="134"/>
      </rPr>
      <t>2015</t>
    </r>
    <r>
      <rPr>
        <b/>
        <sz val="20"/>
        <rFont val="宋体"/>
        <family val="3"/>
        <charset val="134"/>
      </rPr>
      <t>年原材料</t>
    </r>
    <r>
      <rPr>
        <b/>
        <sz val="20"/>
        <rFont val="宋体"/>
        <family val="3"/>
        <charset val="134"/>
      </rPr>
      <t>7</t>
    </r>
    <r>
      <rPr>
        <b/>
        <sz val="20"/>
        <rFont val="宋体"/>
        <family val="3"/>
        <charset val="134"/>
      </rPr>
      <t>月收发明细表</t>
    </r>
  </si>
  <si>
    <r>
      <rPr>
        <sz val="12"/>
        <rFont val="宋体"/>
        <family val="3"/>
        <charset val="134"/>
      </rPr>
      <t>12*1510*</t>
    </r>
    <r>
      <rPr>
        <sz val="12"/>
        <rFont val="宋体"/>
        <family val="3"/>
        <charset val="134"/>
      </rPr>
      <t>2700</t>
    </r>
  </si>
  <si>
    <t>2014年原材料4月收发明细表</t>
  </si>
  <si>
    <t>1.25*2.5*2mm</t>
  </si>
  <si>
    <t>1.25*2.5*3mm</t>
  </si>
  <si>
    <t>3MM</t>
  </si>
  <si>
    <t>原材料3月收发明细表</t>
  </si>
  <si>
    <t>备注</t>
  </si>
  <si>
    <t>圆钢</t>
  </si>
  <si>
    <t>支</t>
  </si>
  <si>
    <t>16*9m</t>
  </si>
  <si>
    <t>10*9m</t>
  </si>
  <si>
    <t>12*9m</t>
  </si>
  <si>
    <t>方管</t>
  </si>
  <si>
    <t>25*25*3</t>
  </si>
  <si>
    <t>30*15*2</t>
  </si>
  <si>
    <t>无缝管</t>
  </si>
  <si>
    <t>127*10</t>
  </si>
  <si>
    <t>角铁</t>
  </si>
  <si>
    <t>5#</t>
  </si>
  <si>
    <t>4#</t>
  </si>
  <si>
    <t>150*150*6</t>
  </si>
  <si>
    <t>工字钢</t>
  </si>
  <si>
    <t>20#</t>
  </si>
  <si>
    <t>50*50</t>
  </si>
  <si>
    <t>40*20</t>
  </si>
  <si>
    <t>40*40</t>
  </si>
  <si>
    <t>20*9m</t>
  </si>
  <si>
    <t>50*100</t>
  </si>
  <si>
    <t>7.75*1510*3000</t>
  </si>
  <si>
    <t>11.75*1510*3000</t>
  </si>
  <si>
    <t>9.75*1510*3000</t>
  </si>
  <si>
    <t>5.75*1510*3000</t>
  </si>
  <si>
    <t>4.75*1510*3000</t>
  </si>
  <si>
    <t>序
号</t>
  </si>
  <si>
    <t xml:space="preserve">密度 
g/cm³ </t>
  </si>
  <si>
    <t>厚度
mm</t>
  </si>
  <si>
    <t>宽度
mm</t>
  </si>
  <si>
    <t>长度
mm</t>
  </si>
  <si>
    <t>板材尺寸
mm</t>
  </si>
  <si>
    <t>重量
Kg</t>
  </si>
  <si>
    <t>开平板 Q235</t>
  </si>
  <si>
    <t xml:space="preserve">锰板 Q345 </t>
  </si>
  <si>
    <t>锰板 Q345</t>
  </si>
  <si>
    <t>物料编码</t>
  </si>
  <si>
    <t>05010100038</t>
  </si>
  <si>
    <t>05010100008</t>
  </si>
  <si>
    <t>05010100009</t>
  </si>
  <si>
    <t>05010100010</t>
  </si>
  <si>
    <t>05010100011</t>
  </si>
  <si>
    <t>05010100012</t>
  </si>
  <si>
    <t>05010100001</t>
  </si>
  <si>
    <t>05010100041</t>
  </si>
  <si>
    <t>05010100047</t>
  </si>
  <si>
    <t>05010200002</t>
  </si>
  <si>
    <t>05010200003</t>
  </si>
  <si>
    <t>05010200004</t>
  </si>
  <si>
    <t>05010200005</t>
  </si>
  <si>
    <t>05010200006</t>
  </si>
  <si>
    <t>05010200007</t>
  </si>
  <si>
    <t>2500*12000</t>
    <phoneticPr fontId="11" type="noConversion"/>
  </si>
  <si>
    <t>备注</t>
    <phoneticPr fontId="11" type="noConversion"/>
  </si>
  <si>
    <t>12mm无基础价格，基于历史采购经验，参考10mm价格，增加70元/吨</t>
    <phoneticPr fontId="11" type="noConversion"/>
  </si>
  <si>
    <t>冷板 ST12</t>
    <phoneticPr fontId="11" type="noConversion"/>
  </si>
  <si>
    <t xml:space="preserve">锰板 Q345 </t>
    <phoneticPr fontId="11" type="noConversion"/>
  </si>
  <si>
    <t>开平板 Q235</t>
    <phoneticPr fontId="11" type="noConversion"/>
  </si>
  <si>
    <t>张家港
（沙钢Q235热轧卷板）</t>
    <phoneticPr fontId="11" type="noConversion"/>
  </si>
  <si>
    <t>鞍山
（冷轧卷）</t>
    <phoneticPr fontId="11" type="noConversion"/>
  </si>
  <si>
    <t>23年1月
采购价格</t>
    <phoneticPr fontId="11" type="noConversion"/>
  </si>
  <si>
    <t>1250x3000</t>
    <phoneticPr fontId="11" type="noConversion"/>
  </si>
  <si>
    <r>
      <rPr>
        <sz val="10"/>
        <color rgb="FFFF0000"/>
        <rFont val="微软雅黑"/>
        <family val="2"/>
        <charset val="134"/>
      </rPr>
      <t xml:space="preserve">无锡
</t>
    </r>
    <r>
      <rPr>
        <sz val="10"/>
        <color theme="1" tint="0.249977111117893"/>
        <rFont val="微软雅黑"/>
        <family val="2"/>
        <charset val="134"/>
      </rPr>
      <t>（沙钢Q345热轧卷板/低合金板卷）</t>
    </r>
    <phoneticPr fontId="11" type="noConversion"/>
  </si>
  <si>
    <t>江阴
（沙钢Q345热轧卷板/低合金板卷）</t>
    <phoneticPr fontId="11" type="noConversion"/>
  </si>
  <si>
    <t xml:space="preserve"> </t>
    <phoneticPr fontId="11" type="noConversion"/>
  </si>
  <si>
    <t>产地
材质
名称</t>
    <phoneticPr fontId="11" type="noConversion"/>
  </si>
  <si>
    <t>10.12
我的钢铁网</t>
    <phoneticPr fontId="11" type="noConversion"/>
  </si>
  <si>
    <t>10.12
采购价格</t>
    <phoneticPr fontId="11" type="noConversion"/>
  </si>
  <si>
    <t>2022-12-12
钢铁网价格</t>
    <phoneticPr fontId="11" type="noConversion"/>
  </si>
  <si>
    <t>1510x3000</t>
  </si>
  <si>
    <t>1510x3000</t>
    <phoneticPr fontId="11" type="noConversion"/>
  </si>
  <si>
    <t>1250x2500</t>
    <phoneticPr fontId="11" type="noConversion"/>
  </si>
  <si>
    <t>调整
价格</t>
    <phoneticPr fontId="11" type="noConversion"/>
  </si>
  <si>
    <t>25年12月
板材平均价格</t>
    <phoneticPr fontId="11" type="noConversion"/>
  </si>
  <si>
    <t>26年1月
采购价格</t>
    <phoneticPr fontId="11" type="noConversion"/>
  </si>
  <si>
    <t>震源板材价格</t>
    <phoneticPr fontId="11" type="noConversion"/>
  </si>
  <si>
    <t>26年1月
板材平均价格</t>
    <phoneticPr fontId="11" type="noConversion"/>
  </si>
  <si>
    <t>26年2月
采购价格</t>
    <phoneticPr fontId="11" type="noConversion"/>
  </si>
  <si>
    <t>江阴，无锡
（沙钢，中厚板）低合金中板</t>
    <phoneticPr fontId="11" type="noConversion"/>
  </si>
  <si>
    <t>26年2月
板材平均价格</t>
    <phoneticPr fontId="11" type="noConversion"/>
  </si>
  <si>
    <t>26年3月
采购价格</t>
    <phoneticPr fontId="11" type="noConversion"/>
  </si>
  <si>
    <t>26年3月
板材平均价格</t>
    <phoneticPr fontId="11" type="noConversion"/>
  </si>
  <si>
    <t>26年4月
采购价格</t>
    <phoneticPr fontId="11" type="noConversion"/>
  </si>
  <si>
    <t>26年4月
板材平均价格</t>
    <phoneticPr fontId="11" type="noConversion"/>
  </si>
  <si>
    <t>26年5月
采购价格</t>
    <phoneticPr fontId="11" type="noConversion"/>
  </si>
  <si>
    <t>26年5月
板材平均价格</t>
    <phoneticPr fontId="11" type="noConversion"/>
  </si>
  <si>
    <t>26年6月
采购价格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</si>
</sst>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_ "/>
    <numFmt numFmtId="178" formatCode="m&quot;月&quot;d&quot;日&quot;;@"/>
  </numFmts>
  <fonts count="16" x14ac:knownFonts="1">
    <font>
      <sz val="12"/>
      <name val="宋体"/>
      <charset val="134"/>
    </font>
    <font>
      <sz val="10"/>
      <color theme="1" tint="0.249977111117893"/>
      <name val="微软雅黑"/>
      <family val="2"/>
      <charset val="134"/>
    </font>
    <font>
      <sz val="12"/>
      <color theme="1" tint="0.249977111117893"/>
      <name val="微软雅黑"/>
      <family val="2"/>
      <charset val="134"/>
    </font>
    <font>
      <b/>
      <sz val="22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  <font>
      <b/>
      <sz val="20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微软雅黑"/>
      <family val="2"/>
      <charset val="134"/>
    </font>
    <font>
      <sz val="12"/>
      <color theme="1" tint="0.249977111117893"/>
      <name val="宋体"/>
      <family val="3"/>
      <charset val="134"/>
    </font>
    <font>
      <sz val="12"/>
      <color theme="1" tint="0.249977111117893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EB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14996795556505021"/>
      </right>
      <top style="medium">
        <color theme="0" tint="-0.14996795556505021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7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8" fillId="0" borderId="3" xfId="0" applyFont="1" applyBorder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1" fontId="1" fillId="5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78" fontId="0" fillId="0" borderId="3" xfId="0" applyNumberForma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2" fillId="0" borderId="0" xfId="1" applyFont="1" applyProtection="1">
      <alignment vertical="center"/>
      <protection locked="0"/>
    </xf>
    <xf numFmtId="0" fontId="4" fillId="2" borderId="3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 wrapText="1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3" fillId="0" borderId="3" xfId="1" applyFont="1" applyBorder="1" applyAlignment="1" applyProtection="1">
      <alignment horizontal="center" vertical="center" wrapText="1"/>
      <protection locked="0"/>
    </xf>
    <xf numFmtId="178" fontId="9" fillId="0" borderId="3" xfId="1" applyNumberFormat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3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 wrapText="1"/>
    </xf>
    <xf numFmtId="49" fontId="1" fillId="3" borderId="3" xfId="1" applyNumberFormat="1" applyFont="1" applyFill="1" applyBorder="1" applyAlignment="1">
      <alignment horizontal="center" vertical="center" wrapText="1"/>
    </xf>
    <xf numFmtId="1" fontId="1" fillId="3" borderId="3" xfId="1" applyNumberFormat="1" applyFont="1" applyFill="1" applyBorder="1" applyAlignment="1">
      <alignment horizontal="center" vertical="center"/>
    </xf>
    <xf numFmtId="0" fontId="13" fillId="0" borderId="3" xfId="1" applyFont="1" applyBorder="1" applyAlignment="1" applyProtection="1">
      <alignment horizontal="center" vertical="center"/>
      <protection locked="0"/>
    </xf>
    <xf numFmtId="0" fontId="9" fillId="0" borderId="3" xfId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49" fontId="1" fillId="4" borderId="3" xfId="1" applyNumberFormat="1" applyFont="1" applyFill="1" applyBorder="1" applyAlignment="1">
      <alignment horizontal="center" vertical="center" wrapText="1"/>
    </xf>
    <xf numFmtId="1" fontId="1" fillId="4" borderId="3" xfId="1" applyNumberFormat="1" applyFont="1" applyFill="1" applyBorder="1" applyAlignment="1">
      <alignment horizontal="center" vertical="center"/>
    </xf>
    <xf numFmtId="0" fontId="1" fillId="0" borderId="0" xfId="1" applyFont="1" applyProtection="1">
      <alignment vertical="center"/>
      <protection locked="0"/>
    </xf>
    <xf numFmtId="0" fontId="14" fillId="0" borderId="3" xfId="1" applyFont="1" applyBorder="1" applyAlignment="1" applyProtection="1">
      <alignment horizontal="center" vertical="center"/>
      <protection locked="0"/>
    </xf>
    <xf numFmtId="0" fontId="1" fillId="5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49" fontId="1" fillId="5" borderId="3" xfId="1" applyNumberFormat="1" applyFont="1" applyFill="1" applyBorder="1" applyAlignment="1">
      <alignment horizontal="center" vertical="center" wrapText="1"/>
    </xf>
    <xf numFmtId="1" fontId="1" fillId="5" borderId="3" xfId="1" applyNumberFormat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center" vertical="center"/>
    </xf>
    <xf numFmtId="0" fontId="1" fillId="7" borderId="3" xfId="1" applyFont="1" applyFill="1" applyBorder="1" applyAlignment="1">
      <alignment horizontal="center" vertical="center" wrapText="1"/>
    </xf>
    <xf numFmtId="0" fontId="1" fillId="8" borderId="3" xfId="1" applyFont="1" applyFill="1" applyBorder="1" applyAlignment="1">
      <alignment horizontal="center" vertical="center" wrapText="1"/>
    </xf>
    <xf numFmtId="49" fontId="1" fillId="8" borderId="3" xfId="1" applyNumberFormat="1" applyFont="1" applyFill="1" applyBorder="1" applyAlignment="1">
      <alignment horizontal="center" vertical="center" wrapText="1"/>
    </xf>
    <xf numFmtId="0" fontId="1" fillId="8" borderId="3" xfId="1" applyFont="1" applyFill="1" applyBorder="1" applyAlignment="1">
      <alignment horizontal="center" vertical="center"/>
    </xf>
    <xf numFmtId="1" fontId="1" fillId="8" borderId="3" xfId="1" applyNumberFormat="1" applyFont="1" applyFill="1" applyBorder="1" applyAlignment="1">
      <alignment horizontal="center" vertical="center"/>
    </xf>
    <xf numFmtId="0" fontId="2" fillId="0" borderId="3" xfId="1" applyFont="1" applyBorder="1" applyAlignment="1" applyProtection="1">
      <alignment horizontal="center" vertical="center"/>
      <protection locked="0"/>
    </xf>
    <xf numFmtId="49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1" fillId="3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3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3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1" fillId="3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C56455"/>
      <color rgb="FFC54D48"/>
      <color rgb="FFFFFCA8"/>
      <color rgb="FFB13B2E"/>
      <color rgb="FFFFFEB2"/>
      <color rgb="FF84A7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F17"/>
  <sheetViews>
    <sheetView workbookViewId="0">
      <pane ySplit="4" topLeftCell="A5" activePane="bottomLeft" state="frozen"/>
      <selection pane="bottomLeft" activeCell="E26" sqref="E26"/>
    </sheetView>
  </sheetViews>
  <sheetFormatPr defaultColWidth="11" defaultRowHeight="15.6" x14ac:dyDescent="0.25"/>
  <cols>
    <col min="1" max="1" width="8" style="6" customWidth="1"/>
    <col min="2" max="2" width="17.09765625" style="18" customWidth="1"/>
    <col min="3" max="3" width="33" customWidth="1"/>
    <col min="4" max="4" width="11.8984375" style="6" customWidth="1"/>
    <col min="5" max="5" width="17.59765625" style="6" customWidth="1"/>
    <col min="6" max="256" width="8.8984375" customWidth="1"/>
  </cols>
  <sheetData>
    <row r="1" spans="1:6" ht="14.25" customHeight="1" x14ac:dyDescent="0.25">
      <c r="A1" s="113" t="s">
        <v>0</v>
      </c>
      <c r="B1" s="113"/>
      <c r="C1" s="113"/>
      <c r="D1" s="113"/>
      <c r="E1" s="113"/>
    </row>
    <row r="2" spans="1:6" ht="21" customHeight="1" x14ac:dyDescent="0.25">
      <c r="A2" s="113"/>
      <c r="B2" s="113"/>
      <c r="C2" s="113"/>
      <c r="D2" s="113"/>
      <c r="E2" s="113"/>
      <c r="F2" s="19"/>
    </row>
    <row r="3" spans="1:6" ht="30" customHeight="1" x14ac:dyDescent="0.25">
      <c r="A3" s="112" t="s">
        <v>1</v>
      </c>
      <c r="B3" s="112"/>
      <c r="C3" s="112"/>
      <c r="D3" s="14"/>
      <c r="E3" s="14"/>
      <c r="F3" s="19"/>
    </row>
    <row r="4" spans="1:6" ht="47.25" customHeight="1" x14ac:dyDescent="0.25">
      <c r="A4" s="20" t="s">
        <v>2</v>
      </c>
      <c r="B4" s="21" t="s">
        <v>3</v>
      </c>
      <c r="C4" s="22" t="s">
        <v>4</v>
      </c>
      <c r="D4" s="20" t="s">
        <v>5</v>
      </c>
      <c r="E4" s="23" t="s">
        <v>6</v>
      </c>
      <c r="F4" s="24"/>
    </row>
    <row r="5" spans="1:6" ht="47.25" customHeight="1" x14ac:dyDescent="0.25">
      <c r="A5" s="23">
        <v>1</v>
      </c>
      <c r="B5" s="25" t="s">
        <v>7</v>
      </c>
      <c r="C5" s="23" t="s">
        <v>8</v>
      </c>
      <c r="D5" s="23" t="s">
        <v>9</v>
      </c>
      <c r="E5" s="23"/>
    </row>
    <row r="6" spans="1:6" ht="47.25" customHeight="1" x14ac:dyDescent="0.25">
      <c r="A6" s="23">
        <v>2</v>
      </c>
      <c r="B6" s="25" t="s">
        <v>7</v>
      </c>
      <c r="C6" s="23" t="s">
        <v>10</v>
      </c>
      <c r="D6" s="23" t="s">
        <v>9</v>
      </c>
      <c r="E6" s="23"/>
    </row>
    <row r="7" spans="1:6" ht="47.25" customHeight="1" x14ac:dyDescent="0.25">
      <c r="A7" s="23">
        <v>3</v>
      </c>
      <c r="B7" s="25" t="s">
        <v>7</v>
      </c>
      <c r="C7" s="23" t="s">
        <v>11</v>
      </c>
      <c r="D7" s="23" t="s">
        <v>9</v>
      </c>
      <c r="E7" s="23"/>
    </row>
    <row r="8" spans="1:6" ht="47.25" customHeight="1" x14ac:dyDescent="0.25">
      <c r="A8" s="23">
        <v>4</v>
      </c>
      <c r="B8" s="25" t="s">
        <v>7</v>
      </c>
      <c r="C8" s="23" t="s">
        <v>12</v>
      </c>
      <c r="D8" s="23" t="s">
        <v>9</v>
      </c>
      <c r="E8" s="23"/>
    </row>
    <row r="9" spans="1:6" ht="47.25" customHeight="1" x14ac:dyDescent="0.25">
      <c r="A9" s="23">
        <v>5</v>
      </c>
      <c r="B9" s="25" t="s">
        <v>7</v>
      </c>
      <c r="C9" s="23" t="s">
        <v>13</v>
      </c>
      <c r="D9" s="23" t="s">
        <v>9</v>
      </c>
      <c r="E9" s="23"/>
    </row>
    <row r="10" spans="1:6" ht="47.25" customHeight="1" x14ac:dyDescent="0.25">
      <c r="A10" s="23">
        <v>6</v>
      </c>
      <c r="B10" s="25" t="s">
        <v>7</v>
      </c>
      <c r="C10" s="23" t="s">
        <v>14</v>
      </c>
      <c r="D10" s="23" t="s">
        <v>9</v>
      </c>
      <c r="E10" s="23"/>
    </row>
    <row r="11" spans="1:6" ht="47.25" customHeight="1" x14ac:dyDescent="0.25">
      <c r="A11" s="23">
        <v>7</v>
      </c>
      <c r="B11" s="25" t="s">
        <v>7</v>
      </c>
      <c r="C11" s="23" t="s">
        <v>15</v>
      </c>
      <c r="D11" s="23" t="s">
        <v>9</v>
      </c>
      <c r="E11" s="23"/>
    </row>
    <row r="12" spans="1:6" ht="47.25" customHeight="1" x14ac:dyDescent="0.25">
      <c r="A12" s="23">
        <v>8</v>
      </c>
      <c r="B12" s="25" t="s">
        <v>16</v>
      </c>
      <c r="C12" s="23" t="s">
        <v>17</v>
      </c>
      <c r="D12" s="23" t="s">
        <v>9</v>
      </c>
      <c r="E12" s="23"/>
    </row>
    <row r="13" spans="1:6" ht="47.25" customHeight="1" x14ac:dyDescent="0.25">
      <c r="A13" s="23">
        <v>9</v>
      </c>
      <c r="B13" s="25" t="s">
        <v>16</v>
      </c>
      <c r="C13" s="23" t="s">
        <v>18</v>
      </c>
      <c r="D13" s="23" t="s">
        <v>9</v>
      </c>
      <c r="E13" s="23"/>
    </row>
    <row r="14" spans="1:6" ht="47.25" customHeight="1" x14ac:dyDescent="0.25">
      <c r="A14" s="23">
        <v>10</v>
      </c>
      <c r="B14" s="25" t="s">
        <v>19</v>
      </c>
      <c r="C14" s="23" t="s">
        <v>12</v>
      </c>
      <c r="D14" s="23" t="s">
        <v>9</v>
      </c>
      <c r="E14" s="23"/>
    </row>
    <row r="15" spans="1:6" ht="47.25" customHeight="1" x14ac:dyDescent="0.25">
      <c r="A15" s="23">
        <v>11</v>
      </c>
      <c r="B15" s="25" t="s">
        <v>19</v>
      </c>
      <c r="C15" s="23" t="s">
        <v>11</v>
      </c>
      <c r="D15" s="23" t="s">
        <v>9</v>
      </c>
      <c r="E15" s="23"/>
    </row>
    <row r="16" spans="1:6" ht="47.25" customHeight="1" x14ac:dyDescent="0.25">
      <c r="A16" s="23">
        <v>12</v>
      </c>
      <c r="B16" s="25" t="s">
        <v>19</v>
      </c>
      <c r="C16" s="23" t="s">
        <v>10</v>
      </c>
      <c r="D16" s="23" t="s">
        <v>9</v>
      </c>
      <c r="E16" s="23"/>
    </row>
    <row r="17" spans="1:5" ht="47.25" customHeight="1" x14ac:dyDescent="0.25">
      <c r="A17" s="23">
        <v>13</v>
      </c>
      <c r="B17" s="25" t="s">
        <v>19</v>
      </c>
      <c r="C17" s="23" t="s">
        <v>8</v>
      </c>
      <c r="D17" s="23" t="s">
        <v>9</v>
      </c>
      <c r="E17" s="23"/>
    </row>
  </sheetData>
  <mergeCells count="2">
    <mergeCell ref="A3:C3"/>
    <mergeCell ref="A1:E2"/>
  </mergeCells>
  <phoneticPr fontId="11" type="noConversion"/>
  <pageMargins left="0.35433070866141703" right="0.35433070866141703" top="0.39370078740157499" bottom="0.39370078740157499" header="0.511811023622047" footer="0.511811023622047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K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9" width="13" style="6" customWidth="1"/>
    <col min="10" max="10" width="12.3984375" style="6" customWidth="1"/>
    <col min="11" max="11" width="10.59765625" style="6" customWidth="1"/>
    <col min="12" max="256" width="8.8984375" customWidth="1"/>
  </cols>
  <sheetData>
    <row r="1" spans="1:11" ht="14.25" customHeight="1" x14ac:dyDescent="0.25">
      <c r="A1" s="113" t="s">
        <v>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8" t="s">
        <v>24</v>
      </c>
    </row>
    <row r="5" spans="1:11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6" t="s">
        <v>27</v>
      </c>
      <c r="K5" s="8" t="s">
        <v>25</v>
      </c>
    </row>
    <row r="6" spans="1:11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36</v>
      </c>
      <c r="F6" s="8">
        <v>100</v>
      </c>
      <c r="G6" s="10"/>
      <c r="H6" s="8"/>
      <c r="I6" s="8">
        <f>6+10+10</f>
        <v>26</v>
      </c>
      <c r="J6" s="16">
        <f>6+50</f>
        <v>56</v>
      </c>
      <c r="K6" s="8">
        <f>E6+F6-I6-J6</f>
        <v>54</v>
      </c>
    </row>
    <row r="7" spans="1:11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3</v>
      </c>
      <c r="F7" s="8">
        <v>20</v>
      </c>
      <c r="G7" s="10"/>
      <c r="H7" s="8"/>
      <c r="I7" s="8">
        <v>1</v>
      </c>
      <c r="J7" s="16">
        <v>10</v>
      </c>
      <c r="K7" s="8">
        <f t="shared" ref="K7:K18" si="0">E7+F7-I7-J7</f>
        <v>12</v>
      </c>
    </row>
    <row r="8" spans="1:11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1</v>
      </c>
      <c r="F8" s="8">
        <v>30</v>
      </c>
      <c r="G8" s="10"/>
      <c r="H8" s="8"/>
      <c r="I8" s="8">
        <f>1+2+5</f>
        <v>8</v>
      </c>
      <c r="J8" s="16">
        <v>15</v>
      </c>
      <c r="K8" s="8">
        <f t="shared" si="0"/>
        <v>8</v>
      </c>
    </row>
    <row r="9" spans="1:11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63</v>
      </c>
      <c r="F9" s="8">
        <v>60</v>
      </c>
      <c r="G9" s="10"/>
      <c r="H9" s="8"/>
      <c r="I9" s="8">
        <f>10+14+38</f>
        <v>62</v>
      </c>
      <c r="J9" s="16">
        <v>30</v>
      </c>
      <c r="K9" s="8">
        <f t="shared" si="0"/>
        <v>31</v>
      </c>
    </row>
    <row r="10" spans="1:11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81</v>
      </c>
      <c r="F10" s="8"/>
      <c r="G10" s="10"/>
      <c r="H10" s="8"/>
      <c r="I10" s="8">
        <f>16+26</f>
        <v>42</v>
      </c>
      <c r="J10" s="16"/>
      <c r="K10" s="8">
        <f t="shared" si="0"/>
        <v>39</v>
      </c>
    </row>
    <row r="11" spans="1:11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243</v>
      </c>
      <c r="F11" s="8"/>
      <c r="G11" s="10"/>
      <c r="H11" s="8"/>
      <c r="I11" s="8">
        <f>5+5+3+26</f>
        <v>39</v>
      </c>
      <c r="J11" s="16"/>
      <c r="K11" s="8">
        <f t="shared" si="0"/>
        <v>204</v>
      </c>
    </row>
    <row r="12" spans="1:11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19</v>
      </c>
      <c r="F12" s="8">
        <v>100</v>
      </c>
      <c r="G12" s="10"/>
      <c r="H12" s="8"/>
      <c r="I12" s="8">
        <f>12+5+22</f>
        <v>39</v>
      </c>
      <c r="J12" s="16">
        <v>50</v>
      </c>
      <c r="K12" s="8">
        <f t="shared" si="0"/>
        <v>30</v>
      </c>
    </row>
    <row r="13" spans="1:11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29</v>
      </c>
      <c r="F13" s="8"/>
      <c r="G13" s="10"/>
      <c r="H13" s="8"/>
      <c r="I13" s="8">
        <f>1+4+3+6</f>
        <v>14</v>
      </c>
      <c r="J13" s="16"/>
      <c r="K13" s="8">
        <f t="shared" si="0"/>
        <v>15</v>
      </c>
    </row>
    <row r="14" spans="1:11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6"/>
      <c r="K14" s="8">
        <f t="shared" si="0"/>
        <v>7</v>
      </c>
    </row>
    <row r="15" spans="1:11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7</v>
      </c>
      <c r="F15" s="8"/>
      <c r="G15" s="8"/>
      <c r="H15" s="8"/>
      <c r="I15" s="8"/>
      <c r="J15" s="16"/>
      <c r="K15" s="8">
        <f t="shared" si="0"/>
        <v>7</v>
      </c>
    </row>
    <row r="16" spans="1:11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3</v>
      </c>
      <c r="F16" s="8"/>
      <c r="G16" s="8"/>
      <c r="H16" s="8"/>
      <c r="I16" s="8"/>
      <c r="J16" s="16"/>
      <c r="K16" s="8">
        <f t="shared" si="0"/>
        <v>3</v>
      </c>
    </row>
    <row r="17" spans="1:11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24</v>
      </c>
      <c r="F17" s="8"/>
      <c r="G17" s="8"/>
      <c r="H17" s="8"/>
      <c r="I17" s="8"/>
      <c r="J17" s="16"/>
      <c r="K17" s="8">
        <f t="shared" si="0"/>
        <v>24</v>
      </c>
    </row>
    <row r="18" spans="1:11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2</v>
      </c>
      <c r="F18" s="8"/>
      <c r="G18" s="8"/>
      <c r="H18" s="8"/>
      <c r="I18" s="8"/>
      <c r="J18" s="16"/>
      <c r="K18" s="8">
        <f t="shared" si="0"/>
        <v>2</v>
      </c>
    </row>
    <row r="19" spans="1:11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6"/>
      <c r="K19" s="8"/>
    </row>
    <row r="20" spans="1:11" ht="26.25" customHeight="1" x14ac:dyDescent="0.25">
      <c r="A20" s="8" t="s">
        <v>35</v>
      </c>
      <c r="B20" s="9"/>
      <c r="C20" s="11"/>
      <c r="D20" s="8"/>
      <c r="E20" s="8">
        <v>518</v>
      </c>
      <c r="F20" s="8">
        <f>SUM(F6:F18)</f>
        <v>310</v>
      </c>
      <c r="G20" s="8">
        <f>SUM(G6:G16)</f>
        <v>0</v>
      </c>
      <c r="H20" s="8">
        <f>SUM(H6:H16)</f>
        <v>0</v>
      </c>
      <c r="I20" s="8">
        <f>SUM(I6:I18)</f>
        <v>231</v>
      </c>
      <c r="J20" s="8">
        <f>SUM(J6:J16)</f>
        <v>161</v>
      </c>
      <c r="K20" s="8">
        <f>SUM(K6:K19)</f>
        <v>436</v>
      </c>
    </row>
  </sheetData>
  <mergeCells count="6">
    <mergeCell ref="A1:K2"/>
    <mergeCell ref="I4:J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9" width="13" style="6" customWidth="1"/>
    <col min="10" max="10" width="12.3984375" style="6" customWidth="1"/>
    <col min="11" max="11" width="10.59765625" style="6" customWidth="1"/>
    <col min="12" max="256" width="8.8984375" customWidth="1"/>
  </cols>
  <sheetData>
    <row r="1" spans="1:11" ht="14.25" customHeight="1" x14ac:dyDescent="0.25">
      <c r="A1" s="113" t="s">
        <v>36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8" t="s">
        <v>24</v>
      </c>
    </row>
    <row r="5" spans="1:11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6" t="s">
        <v>27</v>
      </c>
      <c r="K5" s="8" t="s">
        <v>25</v>
      </c>
    </row>
    <row r="6" spans="1:11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54</v>
      </c>
      <c r="F6" s="8"/>
      <c r="G6" s="10"/>
      <c r="H6" s="8"/>
      <c r="I6" s="8"/>
      <c r="J6" s="16"/>
      <c r="K6" s="8">
        <f>E6+F6-I6-J6</f>
        <v>54</v>
      </c>
    </row>
    <row r="7" spans="1:11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12</v>
      </c>
      <c r="F7" s="8"/>
      <c r="G7" s="10"/>
      <c r="H7" s="8"/>
      <c r="I7" s="8"/>
      <c r="J7" s="16"/>
      <c r="K7" s="8">
        <f t="shared" ref="K7:K18" si="0">E7+F7-I7-J7</f>
        <v>12</v>
      </c>
    </row>
    <row r="8" spans="1:11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8</v>
      </c>
      <c r="F8" s="8"/>
      <c r="G8" s="10"/>
      <c r="H8" s="8"/>
      <c r="I8" s="8"/>
      <c r="J8" s="16"/>
      <c r="K8" s="8">
        <f t="shared" si="0"/>
        <v>8</v>
      </c>
    </row>
    <row r="9" spans="1:11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31</v>
      </c>
      <c r="F9" s="8"/>
      <c r="G9" s="10"/>
      <c r="H9" s="8"/>
      <c r="I9" s="8">
        <f>1</f>
        <v>1</v>
      </c>
      <c r="J9" s="16"/>
      <c r="K9" s="8">
        <f t="shared" si="0"/>
        <v>30</v>
      </c>
    </row>
    <row r="10" spans="1:11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39</v>
      </c>
      <c r="F10" s="8"/>
      <c r="G10" s="10"/>
      <c r="H10" s="8"/>
      <c r="I10" s="8"/>
      <c r="J10" s="16"/>
      <c r="K10" s="8">
        <f t="shared" si="0"/>
        <v>39</v>
      </c>
    </row>
    <row r="11" spans="1:11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204</v>
      </c>
      <c r="F11" s="8"/>
      <c r="G11" s="10"/>
      <c r="H11" s="8"/>
      <c r="I11" s="8"/>
      <c r="J11" s="16"/>
      <c r="K11" s="8">
        <f t="shared" si="0"/>
        <v>204</v>
      </c>
    </row>
    <row r="12" spans="1:11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30</v>
      </c>
      <c r="F12" s="8"/>
      <c r="G12" s="10"/>
      <c r="H12" s="8"/>
      <c r="I12" s="8">
        <f>4</f>
        <v>4</v>
      </c>
      <c r="J12" s="16"/>
      <c r="K12" s="8">
        <f t="shared" si="0"/>
        <v>26</v>
      </c>
    </row>
    <row r="13" spans="1:11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15</v>
      </c>
      <c r="F13" s="8"/>
      <c r="G13" s="10"/>
      <c r="H13" s="8"/>
      <c r="I13" s="8">
        <f>4</f>
        <v>4</v>
      </c>
      <c r="J13" s="16"/>
      <c r="K13" s="8">
        <f t="shared" si="0"/>
        <v>11</v>
      </c>
    </row>
    <row r="14" spans="1:11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6"/>
      <c r="K14" s="8">
        <f t="shared" si="0"/>
        <v>7</v>
      </c>
    </row>
    <row r="15" spans="1:11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7</v>
      </c>
      <c r="F15" s="8"/>
      <c r="G15" s="8"/>
      <c r="H15" s="8"/>
      <c r="I15" s="8">
        <v>7</v>
      </c>
      <c r="J15" s="16"/>
      <c r="K15" s="8">
        <f t="shared" si="0"/>
        <v>0</v>
      </c>
    </row>
    <row r="16" spans="1:11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3</v>
      </c>
      <c r="F16" s="8"/>
      <c r="G16" s="8"/>
      <c r="H16" s="8"/>
      <c r="I16" s="8"/>
      <c r="J16" s="16"/>
      <c r="K16" s="8">
        <f t="shared" si="0"/>
        <v>3</v>
      </c>
    </row>
    <row r="17" spans="1:11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24</v>
      </c>
      <c r="F17" s="8"/>
      <c r="G17" s="8"/>
      <c r="H17" s="8"/>
      <c r="I17" s="8"/>
      <c r="J17" s="16"/>
      <c r="K17" s="8">
        <f t="shared" si="0"/>
        <v>24</v>
      </c>
    </row>
    <row r="18" spans="1:11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2</v>
      </c>
      <c r="F18" s="8"/>
      <c r="G18" s="8"/>
      <c r="H18" s="8"/>
      <c r="I18" s="8"/>
      <c r="J18" s="16"/>
      <c r="K18" s="8">
        <f t="shared" si="0"/>
        <v>2</v>
      </c>
    </row>
    <row r="19" spans="1:11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6"/>
      <c r="K19" s="8"/>
    </row>
    <row r="20" spans="1:11" ht="26.25" customHeight="1" x14ac:dyDescent="0.25">
      <c r="A20" s="8" t="s">
        <v>35</v>
      </c>
      <c r="B20" s="9"/>
      <c r="C20" s="11"/>
      <c r="D20" s="8"/>
      <c r="E20" s="8">
        <v>436</v>
      </c>
      <c r="F20" s="8">
        <f>SUM(F6:F18)</f>
        <v>0</v>
      </c>
      <c r="G20" s="8">
        <f>SUM(G6:G16)</f>
        <v>0</v>
      </c>
      <c r="H20" s="8">
        <f>SUM(H6:H16)</f>
        <v>0</v>
      </c>
      <c r="I20" s="8">
        <f>SUM(I6:I18)</f>
        <v>16</v>
      </c>
      <c r="J20" s="8">
        <f>SUM(J6:J16)</f>
        <v>0</v>
      </c>
      <c r="K20" s="8">
        <f>SUM(K6:K19)</f>
        <v>420</v>
      </c>
    </row>
  </sheetData>
  <mergeCells count="6">
    <mergeCell ref="A1:K2"/>
    <mergeCell ref="I4:J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9" width="13" style="6" customWidth="1"/>
    <col min="10" max="10" width="12.3984375" style="6" customWidth="1"/>
    <col min="11" max="11" width="10.59765625" style="6" customWidth="1"/>
    <col min="12" max="256" width="8.8984375" customWidth="1"/>
  </cols>
  <sheetData>
    <row r="1" spans="1:13" ht="14.25" customHeight="1" x14ac:dyDescent="0.25">
      <c r="A1" s="113" t="s">
        <v>37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3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M2" t="s">
        <v>38</v>
      </c>
    </row>
    <row r="3" spans="1:13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3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8" t="s">
        <v>24</v>
      </c>
    </row>
    <row r="5" spans="1:13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6" t="s">
        <v>27</v>
      </c>
      <c r="K5" s="8" t="s">
        <v>25</v>
      </c>
    </row>
    <row r="6" spans="1:13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54</v>
      </c>
      <c r="F6" s="8">
        <f>71+9</f>
        <v>80</v>
      </c>
      <c r="G6" s="10"/>
      <c r="H6" s="8"/>
      <c r="I6" s="8">
        <f>4+3</f>
        <v>7</v>
      </c>
      <c r="J6" s="16">
        <v>12</v>
      </c>
      <c r="K6" s="8">
        <f>E6+F6-I6-J6</f>
        <v>115</v>
      </c>
    </row>
    <row r="7" spans="1:13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12</v>
      </c>
      <c r="F7" s="8">
        <f>20</f>
        <v>20</v>
      </c>
      <c r="G7" s="10"/>
      <c r="H7" s="8"/>
      <c r="I7" s="8">
        <f>2+1</f>
        <v>3</v>
      </c>
      <c r="J7" s="16"/>
      <c r="K7" s="8">
        <f t="shared" ref="K7:K18" si="0">E7+F7-I7-J7</f>
        <v>29</v>
      </c>
    </row>
    <row r="8" spans="1:13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8</v>
      </c>
      <c r="F8" s="8">
        <f>30</f>
        <v>30</v>
      </c>
      <c r="G8" s="10"/>
      <c r="H8" s="8"/>
      <c r="I8" s="8">
        <f>3+4</f>
        <v>7</v>
      </c>
      <c r="J8" s="16"/>
      <c r="K8" s="8">
        <f t="shared" si="0"/>
        <v>31</v>
      </c>
    </row>
    <row r="9" spans="1:13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30</v>
      </c>
      <c r="F9" s="8">
        <f>139+61+7</f>
        <v>207</v>
      </c>
      <c r="G9" s="10"/>
      <c r="H9" s="8"/>
      <c r="I9" s="8">
        <f>39+20</f>
        <v>59</v>
      </c>
      <c r="J9" s="16">
        <v>-10</v>
      </c>
      <c r="K9" s="8">
        <f t="shared" si="0"/>
        <v>188</v>
      </c>
    </row>
    <row r="10" spans="1:13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39</v>
      </c>
      <c r="F10" s="8">
        <f>100+1</f>
        <v>101</v>
      </c>
      <c r="G10" s="10"/>
      <c r="H10" s="8"/>
      <c r="I10" s="8">
        <v>20</v>
      </c>
      <c r="J10" s="16"/>
      <c r="K10" s="8">
        <f t="shared" si="0"/>
        <v>120</v>
      </c>
    </row>
    <row r="11" spans="1:13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204</v>
      </c>
      <c r="F11" s="8"/>
      <c r="G11" s="10"/>
      <c r="H11" s="8"/>
      <c r="I11" s="8">
        <f>9+25+1</f>
        <v>35</v>
      </c>
      <c r="J11" s="16"/>
      <c r="K11" s="8">
        <f t="shared" si="0"/>
        <v>169</v>
      </c>
    </row>
    <row r="12" spans="1:13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26</v>
      </c>
      <c r="F12" s="8">
        <f>100</f>
        <v>100</v>
      </c>
      <c r="G12" s="10"/>
      <c r="H12" s="8"/>
      <c r="I12" s="8">
        <f>19+13+1</f>
        <v>33</v>
      </c>
      <c r="J12" s="16"/>
      <c r="K12" s="8">
        <f t="shared" si="0"/>
        <v>93</v>
      </c>
    </row>
    <row r="13" spans="1:13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11</v>
      </c>
      <c r="F13" s="8">
        <f>119</f>
        <v>119</v>
      </c>
      <c r="G13" s="10"/>
      <c r="H13" s="8"/>
      <c r="I13" s="8">
        <f>6+4</f>
        <v>10</v>
      </c>
      <c r="J13" s="16">
        <v>5</v>
      </c>
      <c r="K13" s="8">
        <f t="shared" si="0"/>
        <v>115</v>
      </c>
    </row>
    <row r="14" spans="1:13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6"/>
      <c r="K14" s="8">
        <f t="shared" si="0"/>
        <v>7</v>
      </c>
    </row>
    <row r="15" spans="1:13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0</v>
      </c>
      <c r="F15" s="8">
        <v>28</v>
      </c>
      <c r="G15" s="8"/>
      <c r="H15" s="8"/>
      <c r="I15" s="8">
        <f>21+7</f>
        <v>28</v>
      </c>
      <c r="J15" s="16"/>
      <c r="K15" s="8">
        <f t="shared" si="0"/>
        <v>0</v>
      </c>
    </row>
    <row r="16" spans="1:13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3</v>
      </c>
      <c r="F16" s="8">
        <v>6</v>
      </c>
      <c r="G16" s="8"/>
      <c r="H16" s="8"/>
      <c r="I16" s="8"/>
      <c r="J16" s="16"/>
      <c r="K16" s="8">
        <f t="shared" si="0"/>
        <v>9</v>
      </c>
    </row>
    <row r="17" spans="1:11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24</v>
      </c>
      <c r="F17" s="8">
        <f>24</f>
        <v>24</v>
      </c>
      <c r="G17" s="8"/>
      <c r="H17" s="8"/>
      <c r="I17" s="8">
        <v>8</v>
      </c>
      <c r="J17" s="16"/>
      <c r="K17" s="8">
        <f t="shared" si="0"/>
        <v>40</v>
      </c>
    </row>
    <row r="18" spans="1:11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2</v>
      </c>
      <c r="F18" s="8">
        <v>8</v>
      </c>
      <c r="G18" s="8"/>
      <c r="H18" s="8"/>
      <c r="I18" s="8">
        <v>2</v>
      </c>
      <c r="J18" s="16"/>
      <c r="K18" s="8">
        <f t="shared" si="0"/>
        <v>8</v>
      </c>
    </row>
    <row r="19" spans="1:11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6"/>
      <c r="K19" s="8"/>
    </row>
    <row r="20" spans="1:11" ht="26.25" customHeight="1" x14ac:dyDescent="0.25">
      <c r="A20" s="8" t="s">
        <v>35</v>
      </c>
      <c r="B20" s="9"/>
      <c r="C20" s="11"/>
      <c r="D20" s="8"/>
      <c r="E20" s="8">
        <f>SUM(E6:E19)</f>
        <v>420</v>
      </c>
      <c r="F20" s="8">
        <f>SUM(F6:F18)</f>
        <v>723</v>
      </c>
      <c r="G20" s="8">
        <f>SUM(G6:G16)</f>
        <v>0</v>
      </c>
      <c r="H20" s="8">
        <f>SUM(H6:H16)</f>
        <v>0</v>
      </c>
      <c r="I20" s="8">
        <f>SUM(I6:I18)</f>
        <v>212</v>
      </c>
      <c r="J20" s="8">
        <f>SUM(J6:J16)</f>
        <v>7</v>
      </c>
      <c r="K20" s="8">
        <f>SUM(K6:K19)</f>
        <v>924</v>
      </c>
    </row>
  </sheetData>
  <mergeCells count="6">
    <mergeCell ref="A1:K2"/>
    <mergeCell ref="I4:J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N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10" width="13" style="6" customWidth="1"/>
    <col min="11" max="11" width="12.3984375" style="6" customWidth="1"/>
    <col min="12" max="12" width="10.59765625" style="6" customWidth="1"/>
    <col min="13" max="256" width="8.8984375" customWidth="1"/>
  </cols>
  <sheetData>
    <row r="1" spans="1:14" ht="14.25" customHeight="1" x14ac:dyDescent="0.25">
      <c r="A1" s="113" t="s">
        <v>39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4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N2" t="s">
        <v>38</v>
      </c>
    </row>
    <row r="3" spans="1:14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4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114"/>
      <c r="L4" s="8" t="s">
        <v>24</v>
      </c>
    </row>
    <row r="5" spans="1:14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7" t="s">
        <v>40</v>
      </c>
      <c r="K5" s="16" t="s">
        <v>27</v>
      </c>
      <c r="L5" s="8" t="s">
        <v>25</v>
      </c>
    </row>
    <row r="6" spans="1:14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115</v>
      </c>
      <c r="F6" s="8"/>
      <c r="G6" s="10"/>
      <c r="H6" s="8"/>
      <c r="I6" s="8">
        <v>9</v>
      </c>
      <c r="J6" s="17">
        <v>15</v>
      </c>
      <c r="K6" s="16">
        <v>-6</v>
      </c>
      <c r="L6" s="8">
        <f>E6+F6-I6-K6-J6</f>
        <v>97</v>
      </c>
    </row>
    <row r="7" spans="1:14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29</v>
      </c>
      <c r="F7" s="8"/>
      <c r="G7" s="10"/>
      <c r="H7" s="8"/>
      <c r="I7" s="8">
        <v>1</v>
      </c>
      <c r="J7" s="17">
        <v>2</v>
      </c>
      <c r="K7" s="16">
        <v>-20</v>
      </c>
      <c r="L7" s="8">
        <f t="shared" ref="L7:L18" si="0">E7+F7-I7-K7-J7</f>
        <v>46</v>
      </c>
    </row>
    <row r="8" spans="1:14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31</v>
      </c>
      <c r="F8" s="8"/>
      <c r="G8" s="10"/>
      <c r="H8" s="8"/>
      <c r="I8" s="8">
        <v>2</v>
      </c>
      <c r="J8" s="17">
        <v>3</v>
      </c>
      <c r="K8" s="16">
        <v>-12</v>
      </c>
      <c r="L8" s="8">
        <f t="shared" si="0"/>
        <v>38</v>
      </c>
    </row>
    <row r="9" spans="1:14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188</v>
      </c>
      <c r="F9" s="8"/>
      <c r="G9" s="10"/>
      <c r="H9" s="8"/>
      <c r="I9" s="8">
        <v>2</v>
      </c>
      <c r="J9" s="17">
        <v>18</v>
      </c>
      <c r="K9" s="16">
        <v>-31</v>
      </c>
      <c r="L9" s="8">
        <f t="shared" si="0"/>
        <v>199</v>
      </c>
    </row>
    <row r="10" spans="1:14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120</v>
      </c>
      <c r="F10" s="8"/>
      <c r="G10" s="10"/>
      <c r="H10" s="8"/>
      <c r="I10" s="8">
        <v>12</v>
      </c>
      <c r="J10" s="17">
        <v>22</v>
      </c>
      <c r="K10" s="16">
        <v>-27</v>
      </c>
      <c r="L10" s="8">
        <f t="shared" si="0"/>
        <v>113</v>
      </c>
    </row>
    <row r="11" spans="1:14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169</v>
      </c>
      <c r="F11" s="8"/>
      <c r="G11" s="10"/>
      <c r="H11" s="8"/>
      <c r="I11" s="8">
        <v>6</v>
      </c>
      <c r="J11" s="17">
        <v>17</v>
      </c>
      <c r="K11" s="16">
        <v>-116</v>
      </c>
      <c r="L11" s="8">
        <f t="shared" si="0"/>
        <v>262</v>
      </c>
    </row>
    <row r="12" spans="1:14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93</v>
      </c>
      <c r="F12" s="8"/>
      <c r="G12" s="10"/>
      <c r="H12" s="8"/>
      <c r="I12" s="8">
        <f>19+3</f>
        <v>22</v>
      </c>
      <c r="J12" s="17">
        <v>20</v>
      </c>
      <c r="K12" s="16">
        <v>-53</v>
      </c>
      <c r="L12" s="8">
        <f t="shared" si="0"/>
        <v>104</v>
      </c>
    </row>
    <row r="13" spans="1:14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115</v>
      </c>
      <c r="F13" s="8"/>
      <c r="G13" s="10"/>
      <c r="H13" s="8"/>
      <c r="I13" s="8">
        <v>6</v>
      </c>
      <c r="J13" s="17">
        <v>3</v>
      </c>
      <c r="K13" s="16">
        <v>-2</v>
      </c>
      <c r="L13" s="8">
        <f t="shared" si="0"/>
        <v>108</v>
      </c>
    </row>
    <row r="14" spans="1:14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7"/>
      <c r="K14" s="16"/>
      <c r="L14" s="8">
        <f t="shared" si="0"/>
        <v>7</v>
      </c>
    </row>
    <row r="15" spans="1:14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0</v>
      </c>
      <c r="F15" s="8">
        <v>10</v>
      </c>
      <c r="G15" s="8"/>
      <c r="H15" s="8"/>
      <c r="I15" s="8"/>
      <c r="J15" s="17"/>
      <c r="K15" s="16"/>
      <c r="L15" s="8">
        <f t="shared" si="0"/>
        <v>10</v>
      </c>
    </row>
    <row r="16" spans="1:14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9</v>
      </c>
      <c r="F16" s="8"/>
      <c r="G16" s="8"/>
      <c r="H16" s="8"/>
      <c r="I16" s="8"/>
      <c r="J16" s="17"/>
      <c r="K16" s="16"/>
      <c r="L16" s="8">
        <f t="shared" si="0"/>
        <v>9</v>
      </c>
    </row>
    <row r="17" spans="1:12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40</v>
      </c>
      <c r="F17" s="8"/>
      <c r="G17" s="8"/>
      <c r="H17" s="8"/>
      <c r="I17" s="8"/>
      <c r="J17" s="17"/>
      <c r="K17" s="16"/>
      <c r="L17" s="8">
        <f t="shared" si="0"/>
        <v>40</v>
      </c>
    </row>
    <row r="18" spans="1:12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8</v>
      </c>
      <c r="F18" s="8"/>
      <c r="G18" s="8"/>
      <c r="H18" s="8"/>
      <c r="I18" s="8"/>
      <c r="J18" s="17"/>
      <c r="K18" s="16"/>
      <c r="L18" s="8">
        <f t="shared" si="0"/>
        <v>8</v>
      </c>
    </row>
    <row r="19" spans="1:12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7"/>
      <c r="K19" s="16"/>
      <c r="L19" s="8"/>
    </row>
    <row r="20" spans="1:12" ht="26.25" customHeight="1" x14ac:dyDescent="0.25">
      <c r="A20" s="8" t="s">
        <v>35</v>
      </c>
      <c r="B20" s="9"/>
      <c r="C20" s="11"/>
      <c r="D20" s="8"/>
      <c r="E20" s="8">
        <f>SUM(E6:E19)</f>
        <v>924</v>
      </c>
      <c r="F20" s="8">
        <f>SUM(F6:F18)</f>
        <v>10</v>
      </c>
      <c r="G20" s="8">
        <f>SUM(G6:G16)</f>
        <v>0</v>
      </c>
      <c r="H20" s="8">
        <f>SUM(H6:H16)</f>
        <v>0</v>
      </c>
      <c r="I20" s="8">
        <f>SUM(I6:I18)</f>
        <v>60</v>
      </c>
      <c r="J20" s="8"/>
      <c r="K20" s="8">
        <f>SUM(K6:K16)</f>
        <v>-267</v>
      </c>
      <c r="L20" s="8">
        <f>SUM(L6:L19)</f>
        <v>1041</v>
      </c>
    </row>
  </sheetData>
  <mergeCells count="6">
    <mergeCell ref="A1:L2"/>
    <mergeCell ref="I4:K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N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10" width="13" style="6" customWidth="1"/>
    <col min="11" max="11" width="12.3984375" style="6" customWidth="1"/>
    <col min="12" max="12" width="10.59765625" style="6" customWidth="1"/>
    <col min="13" max="256" width="8.8984375" customWidth="1"/>
  </cols>
  <sheetData>
    <row r="1" spans="1:14" ht="14.25" customHeight="1" x14ac:dyDescent="0.25">
      <c r="A1" s="113" t="s">
        <v>41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4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N2" t="s">
        <v>38</v>
      </c>
    </row>
    <row r="3" spans="1:14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4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114"/>
      <c r="L4" s="8" t="s">
        <v>24</v>
      </c>
    </row>
    <row r="5" spans="1:14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7" t="s">
        <v>40</v>
      </c>
      <c r="K5" s="16" t="s">
        <v>27</v>
      </c>
      <c r="L5" s="8" t="s">
        <v>25</v>
      </c>
    </row>
    <row r="6" spans="1:14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97</v>
      </c>
      <c r="F6" s="8"/>
      <c r="G6" s="10"/>
      <c r="H6" s="8"/>
      <c r="I6" s="8">
        <f>10+1+2</f>
        <v>13</v>
      </c>
      <c r="J6" s="17">
        <v>10</v>
      </c>
      <c r="K6" s="16"/>
      <c r="L6" s="8">
        <f>E6+F6-I6-K6-J6</f>
        <v>74</v>
      </c>
    </row>
    <row r="7" spans="1:14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46</v>
      </c>
      <c r="F7" s="8"/>
      <c r="G7" s="10"/>
      <c r="H7" s="8"/>
      <c r="I7" s="8">
        <f>1+1</f>
        <v>2</v>
      </c>
      <c r="J7" s="17">
        <v>1</v>
      </c>
      <c r="K7" s="16"/>
      <c r="L7" s="8">
        <f t="shared" ref="L7:L18" si="0">E7+F7-I7-K7-J7</f>
        <v>43</v>
      </c>
    </row>
    <row r="8" spans="1:14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38</v>
      </c>
      <c r="F8" s="8"/>
      <c r="G8" s="10"/>
      <c r="H8" s="8"/>
      <c r="I8" s="8">
        <f>1+2+3</f>
        <v>6</v>
      </c>
      <c r="J8" s="17">
        <v>1</v>
      </c>
      <c r="K8" s="16"/>
      <c r="L8" s="8">
        <f t="shared" si="0"/>
        <v>31</v>
      </c>
    </row>
    <row r="9" spans="1:14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199</v>
      </c>
      <c r="F9" s="8"/>
      <c r="G9" s="10"/>
      <c r="H9" s="8"/>
      <c r="I9" s="8">
        <f>26+15</f>
        <v>41</v>
      </c>
      <c r="J9" s="17">
        <v>13</v>
      </c>
      <c r="K9" s="16"/>
      <c r="L9" s="8">
        <f t="shared" si="0"/>
        <v>145</v>
      </c>
    </row>
    <row r="10" spans="1:14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113</v>
      </c>
      <c r="F10" s="8"/>
      <c r="G10" s="10"/>
      <c r="H10" s="8"/>
      <c r="I10" s="8">
        <f>4+15</f>
        <v>19</v>
      </c>
      <c r="J10" s="17">
        <v>12</v>
      </c>
      <c r="K10" s="16"/>
      <c r="L10" s="8">
        <f t="shared" si="0"/>
        <v>82</v>
      </c>
    </row>
    <row r="11" spans="1:14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262</v>
      </c>
      <c r="F11" s="8"/>
      <c r="G11" s="10"/>
      <c r="H11" s="8"/>
      <c r="I11" s="8">
        <f>3+5+19</f>
        <v>27</v>
      </c>
      <c r="J11" s="17">
        <v>2</v>
      </c>
      <c r="K11" s="16"/>
      <c r="L11" s="8">
        <f t="shared" si="0"/>
        <v>233</v>
      </c>
    </row>
    <row r="12" spans="1:14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104</v>
      </c>
      <c r="F12" s="8"/>
      <c r="G12" s="10"/>
      <c r="H12" s="8"/>
      <c r="I12" s="8">
        <f>12+11+10</f>
        <v>33</v>
      </c>
      <c r="J12" s="17">
        <v>1</v>
      </c>
      <c r="K12" s="16"/>
      <c r="L12" s="8">
        <f t="shared" si="0"/>
        <v>70</v>
      </c>
    </row>
    <row r="13" spans="1:14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108</v>
      </c>
      <c r="F13" s="8"/>
      <c r="G13" s="10"/>
      <c r="H13" s="8"/>
      <c r="I13" s="8">
        <f>1+1+3</f>
        <v>5</v>
      </c>
      <c r="J13" s="17">
        <v>2</v>
      </c>
      <c r="K13" s="16"/>
      <c r="L13" s="8">
        <f t="shared" si="0"/>
        <v>101</v>
      </c>
    </row>
    <row r="14" spans="1:14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7"/>
      <c r="K14" s="16"/>
      <c r="L14" s="8">
        <f t="shared" si="0"/>
        <v>7</v>
      </c>
    </row>
    <row r="15" spans="1:14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10</v>
      </c>
      <c r="F15" s="8"/>
      <c r="G15" s="8"/>
      <c r="H15" s="8"/>
      <c r="I15" s="8">
        <v>10</v>
      </c>
      <c r="J15" s="17"/>
      <c r="K15" s="16"/>
      <c r="L15" s="8">
        <f t="shared" si="0"/>
        <v>0</v>
      </c>
    </row>
    <row r="16" spans="1:14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9</v>
      </c>
      <c r="F16" s="8"/>
      <c r="G16" s="8"/>
      <c r="H16" s="8"/>
      <c r="I16" s="8"/>
      <c r="J16" s="17"/>
      <c r="K16" s="16"/>
      <c r="L16" s="8">
        <f t="shared" si="0"/>
        <v>9</v>
      </c>
    </row>
    <row r="17" spans="1:12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40</v>
      </c>
      <c r="F17" s="8"/>
      <c r="G17" s="8"/>
      <c r="H17" s="8"/>
      <c r="I17" s="8">
        <v>4</v>
      </c>
      <c r="J17" s="17"/>
      <c r="K17" s="16"/>
      <c r="L17" s="8">
        <f t="shared" si="0"/>
        <v>36</v>
      </c>
    </row>
    <row r="18" spans="1:12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8</v>
      </c>
      <c r="F18" s="8"/>
      <c r="G18" s="8"/>
      <c r="H18" s="8"/>
      <c r="I18" s="8"/>
      <c r="J18" s="17"/>
      <c r="K18" s="16"/>
      <c r="L18" s="8">
        <f t="shared" si="0"/>
        <v>8</v>
      </c>
    </row>
    <row r="19" spans="1:12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7"/>
      <c r="K19" s="16"/>
      <c r="L19" s="8"/>
    </row>
    <row r="20" spans="1:12" ht="26.25" customHeight="1" x14ac:dyDescent="0.25">
      <c r="A20" s="8" t="s">
        <v>35</v>
      </c>
      <c r="B20" s="9"/>
      <c r="C20" s="11"/>
      <c r="D20" s="8"/>
      <c r="E20" s="8">
        <v>1041</v>
      </c>
      <c r="F20" s="8">
        <f>SUM(F6:F18)</f>
        <v>0</v>
      </c>
      <c r="G20" s="8">
        <f>SUM(G6:G16)</f>
        <v>0</v>
      </c>
      <c r="H20" s="8">
        <f>SUM(H6:H16)</f>
        <v>0</v>
      </c>
      <c r="I20" s="8">
        <f>SUM(I6:I18)</f>
        <v>160</v>
      </c>
      <c r="J20" s="8"/>
      <c r="K20" s="8">
        <f>SUM(K6:K16)</f>
        <v>0</v>
      </c>
      <c r="L20" s="8">
        <f>SUM(L6:L19)</f>
        <v>839</v>
      </c>
    </row>
  </sheetData>
  <mergeCells count="6">
    <mergeCell ref="A1:L2"/>
    <mergeCell ref="I4:K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N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10" width="13" style="6" customWidth="1"/>
    <col min="11" max="11" width="12.3984375" style="6" customWidth="1"/>
    <col min="12" max="12" width="10.59765625" style="6" customWidth="1"/>
    <col min="13" max="256" width="8.8984375" customWidth="1"/>
  </cols>
  <sheetData>
    <row r="1" spans="1:14" ht="14.25" customHeight="1" x14ac:dyDescent="0.25">
      <c r="A1" s="113" t="s">
        <v>42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4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N2" t="s">
        <v>38</v>
      </c>
    </row>
    <row r="3" spans="1:14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4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8"/>
      <c r="I4" s="114" t="s">
        <v>23</v>
      </c>
      <c r="J4" s="114"/>
      <c r="K4" s="114"/>
      <c r="L4" s="8" t="s">
        <v>24</v>
      </c>
    </row>
    <row r="5" spans="1:14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8"/>
      <c r="I5" s="8" t="s">
        <v>26</v>
      </c>
      <c r="J5" s="17" t="s">
        <v>40</v>
      </c>
      <c r="K5" s="16" t="s">
        <v>27</v>
      </c>
      <c r="L5" s="8" t="s">
        <v>25</v>
      </c>
    </row>
    <row r="6" spans="1:14" ht="24.75" customHeight="1" x14ac:dyDescent="0.25">
      <c r="A6" s="8">
        <v>1</v>
      </c>
      <c r="B6" s="9" t="s">
        <v>7</v>
      </c>
      <c r="C6" s="8" t="s">
        <v>8</v>
      </c>
      <c r="D6" s="8" t="s">
        <v>9</v>
      </c>
      <c r="E6" s="8">
        <v>74</v>
      </c>
      <c r="F6" s="8"/>
      <c r="G6" s="10"/>
      <c r="H6" s="8"/>
      <c r="I6" s="8">
        <v>17</v>
      </c>
      <c r="J6" s="17">
        <f>10+10</f>
        <v>20</v>
      </c>
      <c r="K6" s="16">
        <v>-0.53</v>
      </c>
      <c r="L6" s="8">
        <f t="shared" ref="L6:L18" si="0">E6+F6-I6-K6-J6</f>
        <v>37.53</v>
      </c>
    </row>
    <row r="7" spans="1:14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43</v>
      </c>
      <c r="F7" s="8"/>
      <c r="G7" s="10"/>
      <c r="H7" s="8"/>
      <c r="I7" s="8">
        <v>1</v>
      </c>
      <c r="J7" s="17">
        <f>1+1</f>
        <v>2</v>
      </c>
      <c r="K7" s="16"/>
      <c r="L7" s="8">
        <f t="shared" si="0"/>
        <v>40</v>
      </c>
    </row>
    <row r="8" spans="1:14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31</v>
      </c>
      <c r="F8" s="8"/>
      <c r="G8" s="10"/>
      <c r="H8" s="8"/>
      <c r="I8" s="8">
        <f>1+1</f>
        <v>2</v>
      </c>
      <c r="J8" s="17">
        <f>1+2</f>
        <v>3</v>
      </c>
      <c r="K8" s="16">
        <v>-0.47</v>
      </c>
      <c r="L8" s="8">
        <f t="shared" si="0"/>
        <v>26.47</v>
      </c>
    </row>
    <row r="9" spans="1:14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145</v>
      </c>
      <c r="F9" s="8"/>
      <c r="G9" s="10"/>
      <c r="H9" s="8"/>
      <c r="I9" s="8">
        <f>8+16</f>
        <v>24</v>
      </c>
      <c r="J9" s="17">
        <f>14+18</f>
        <v>32</v>
      </c>
      <c r="K9" s="16"/>
      <c r="L9" s="8">
        <f t="shared" si="0"/>
        <v>89</v>
      </c>
    </row>
    <row r="10" spans="1:14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82</v>
      </c>
      <c r="F10" s="8"/>
      <c r="G10" s="10"/>
      <c r="H10" s="8"/>
      <c r="I10" s="8">
        <v>3</v>
      </c>
      <c r="J10" s="17">
        <f>12+5</f>
        <v>17</v>
      </c>
      <c r="K10" s="16">
        <v>-0.97</v>
      </c>
      <c r="L10" s="8">
        <f t="shared" si="0"/>
        <v>62.97</v>
      </c>
      <c r="M10" t="s">
        <v>43</v>
      </c>
    </row>
    <row r="11" spans="1:14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233</v>
      </c>
      <c r="F11" s="8"/>
      <c r="G11" s="10"/>
      <c r="H11" s="8"/>
      <c r="I11" s="8">
        <f>3+3</f>
        <v>6</v>
      </c>
      <c r="J11" s="17">
        <f>6+13</f>
        <v>19</v>
      </c>
      <c r="K11" s="16">
        <v>-0.83</v>
      </c>
      <c r="L11" s="8">
        <f t="shared" si="0"/>
        <v>208.83</v>
      </c>
    </row>
    <row r="12" spans="1:14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70</v>
      </c>
      <c r="F12" s="8"/>
      <c r="G12" s="10"/>
      <c r="H12" s="8"/>
      <c r="I12" s="8">
        <f>7+12</f>
        <v>19</v>
      </c>
      <c r="J12" s="17">
        <f>4+2+16</f>
        <v>22</v>
      </c>
      <c r="K12" s="16">
        <v>-0.55000000000000004</v>
      </c>
      <c r="L12" s="8">
        <f t="shared" si="0"/>
        <v>29.549999999999997</v>
      </c>
    </row>
    <row r="13" spans="1:14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101</v>
      </c>
      <c r="F13" s="8"/>
      <c r="G13" s="10"/>
      <c r="H13" s="8"/>
      <c r="I13" s="8">
        <f>1+4</f>
        <v>5</v>
      </c>
      <c r="J13" s="17">
        <f>2+2</f>
        <v>4</v>
      </c>
      <c r="K13" s="16">
        <v>-0.42</v>
      </c>
      <c r="L13" s="8">
        <f t="shared" si="0"/>
        <v>92.42</v>
      </c>
    </row>
    <row r="14" spans="1:14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8"/>
      <c r="I14" s="8"/>
      <c r="J14" s="17"/>
      <c r="K14" s="16"/>
      <c r="L14" s="8">
        <f t="shared" si="0"/>
        <v>7</v>
      </c>
    </row>
    <row r="15" spans="1:14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0</v>
      </c>
      <c r="F15" s="8">
        <v>30</v>
      </c>
      <c r="G15" s="8"/>
      <c r="H15" s="8"/>
      <c r="I15" s="8">
        <f>1+5</f>
        <v>6</v>
      </c>
      <c r="J15" s="17"/>
      <c r="K15" s="16"/>
      <c r="L15" s="8">
        <f t="shared" si="0"/>
        <v>24</v>
      </c>
    </row>
    <row r="16" spans="1:14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9</v>
      </c>
      <c r="F16" s="8"/>
      <c r="G16" s="8"/>
      <c r="H16" s="8"/>
      <c r="I16" s="8"/>
      <c r="J16" s="17"/>
      <c r="K16" s="16">
        <v>-1.35</v>
      </c>
      <c r="L16" s="8">
        <f t="shared" si="0"/>
        <v>10.35</v>
      </c>
    </row>
    <row r="17" spans="1:12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36</v>
      </c>
      <c r="F17" s="8"/>
      <c r="G17" s="8"/>
      <c r="H17" s="8"/>
      <c r="I17" s="8">
        <v>7</v>
      </c>
      <c r="J17" s="17"/>
      <c r="K17" s="16">
        <v>-1.24</v>
      </c>
      <c r="L17" s="8">
        <f t="shared" si="0"/>
        <v>30.24</v>
      </c>
    </row>
    <row r="18" spans="1:12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8</v>
      </c>
      <c r="F18" s="8"/>
      <c r="G18" s="8"/>
      <c r="H18" s="8"/>
      <c r="I18" s="8">
        <v>1</v>
      </c>
      <c r="J18" s="17"/>
      <c r="K18" s="16">
        <v>-1.55</v>
      </c>
      <c r="L18" s="8">
        <f t="shared" si="0"/>
        <v>8.5500000000000007</v>
      </c>
    </row>
    <row r="19" spans="1:12" ht="21" customHeight="1" x14ac:dyDescent="0.25">
      <c r="A19" s="8"/>
      <c r="B19" s="11"/>
      <c r="C19" s="11"/>
      <c r="D19" s="8"/>
      <c r="E19" s="8"/>
      <c r="F19" s="8"/>
      <c r="G19" s="8"/>
      <c r="H19" s="8"/>
      <c r="I19" s="8"/>
      <c r="J19" s="17"/>
      <c r="K19" s="16"/>
      <c r="L19" s="8"/>
    </row>
    <row r="20" spans="1:12" ht="26.25" customHeight="1" x14ac:dyDescent="0.25">
      <c r="A20" s="8" t="s">
        <v>35</v>
      </c>
      <c r="B20" s="9"/>
      <c r="C20" s="11"/>
      <c r="D20" s="8"/>
      <c r="E20" s="8">
        <f>SUM(E6:E19)</f>
        <v>839</v>
      </c>
      <c r="F20" s="8">
        <f>SUM(F6:F18)</f>
        <v>30</v>
      </c>
      <c r="G20" s="8">
        <f>SUM(G6:G16)</f>
        <v>0</v>
      </c>
      <c r="H20" s="8">
        <f>SUM(H6:H16)</f>
        <v>0</v>
      </c>
      <c r="I20" s="8">
        <f>SUM(I6:I18)</f>
        <v>91</v>
      </c>
      <c r="J20" s="8"/>
      <c r="K20" s="8">
        <f>SUM(K6:K16)</f>
        <v>-5.1199999999999992</v>
      </c>
      <c r="L20" s="8">
        <f>SUM(L6:L19)</f>
        <v>666.91</v>
      </c>
    </row>
  </sheetData>
  <mergeCells count="6">
    <mergeCell ref="A1:L2"/>
    <mergeCell ref="I4:K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L20"/>
  <sheetViews>
    <sheetView workbookViewId="0">
      <pane ySplit="5" topLeftCell="A6" activePane="bottomLeft" state="frozen"/>
      <selection pane="bottomLeft" activeCell="E26" sqref="E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7" width="10.59765625" style="6" hidden="1" customWidth="1"/>
    <col min="8" max="8" width="13" style="6" customWidth="1"/>
    <col min="9" max="9" width="12.3984375" style="6" customWidth="1"/>
    <col min="10" max="10" width="10.59765625" style="6" customWidth="1"/>
    <col min="11" max="256" width="8.8984375" customWidth="1"/>
  </cols>
  <sheetData>
    <row r="1" spans="1:12" ht="14.25" customHeight="1" x14ac:dyDescent="0.25">
      <c r="A1" s="113" t="s">
        <v>44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2" ht="21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L2" t="s">
        <v>38</v>
      </c>
    </row>
    <row r="3" spans="1:12" ht="14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2" ht="21" customHeight="1" x14ac:dyDescent="0.25">
      <c r="A4" s="115" t="s">
        <v>2</v>
      </c>
      <c r="B4" s="115" t="s">
        <v>3</v>
      </c>
      <c r="C4" s="116" t="s">
        <v>4</v>
      </c>
      <c r="D4" s="115" t="s">
        <v>5</v>
      </c>
      <c r="E4" s="8" t="s">
        <v>21</v>
      </c>
      <c r="F4" s="8" t="s">
        <v>22</v>
      </c>
      <c r="G4" s="8"/>
      <c r="H4" s="114" t="s">
        <v>23</v>
      </c>
      <c r="I4" s="114"/>
      <c r="J4" s="8" t="s">
        <v>24</v>
      </c>
    </row>
    <row r="5" spans="1:12" ht="21" customHeight="1" x14ac:dyDescent="0.25">
      <c r="A5" s="115"/>
      <c r="B5" s="115"/>
      <c r="C5" s="116"/>
      <c r="D5" s="115"/>
      <c r="E5" s="8" t="s">
        <v>25</v>
      </c>
      <c r="F5" s="8" t="s">
        <v>25</v>
      </c>
      <c r="G5" s="8"/>
      <c r="H5" s="16" t="s">
        <v>26</v>
      </c>
      <c r="I5" s="17" t="s">
        <v>40</v>
      </c>
      <c r="J5" s="8" t="s">
        <v>25</v>
      </c>
    </row>
    <row r="6" spans="1:12" ht="24.75" customHeight="1" x14ac:dyDescent="0.25">
      <c r="A6" s="8">
        <v>1</v>
      </c>
      <c r="B6" s="9" t="s">
        <v>7</v>
      </c>
      <c r="C6" s="8" t="s">
        <v>45</v>
      </c>
      <c r="D6" s="8" t="s">
        <v>9</v>
      </c>
      <c r="E6" s="8">
        <v>37.53</v>
      </c>
      <c r="F6" s="8">
        <v>100</v>
      </c>
      <c r="G6" s="10"/>
      <c r="H6" s="16">
        <f>1+0.53</f>
        <v>1.53</v>
      </c>
      <c r="I6" s="17">
        <f>11</f>
        <v>11</v>
      </c>
      <c r="J6" s="8">
        <f t="shared" ref="J6:J18" si="0">E6+F6-H6-I6</f>
        <v>125</v>
      </c>
    </row>
    <row r="7" spans="1:12" ht="24.75" customHeight="1" x14ac:dyDescent="0.25">
      <c r="A7" s="8">
        <v>2</v>
      </c>
      <c r="B7" s="9" t="s">
        <v>7</v>
      </c>
      <c r="C7" s="8" t="s">
        <v>10</v>
      </c>
      <c r="D7" s="8" t="s">
        <v>9</v>
      </c>
      <c r="E7" s="8">
        <v>40</v>
      </c>
      <c r="F7" s="8"/>
      <c r="G7" s="10"/>
      <c r="H7" s="16">
        <f>1</f>
        <v>1</v>
      </c>
      <c r="I7" s="17">
        <f>1</f>
        <v>1</v>
      </c>
      <c r="J7" s="8">
        <f t="shared" si="0"/>
        <v>38</v>
      </c>
    </row>
    <row r="8" spans="1:12" ht="24.75" customHeight="1" x14ac:dyDescent="0.25">
      <c r="A8" s="8">
        <v>3</v>
      </c>
      <c r="B8" s="9" t="s">
        <v>7</v>
      </c>
      <c r="C8" s="8" t="s">
        <v>11</v>
      </c>
      <c r="D8" s="8" t="s">
        <v>9</v>
      </c>
      <c r="E8" s="8">
        <v>26.47</v>
      </c>
      <c r="F8" s="8">
        <v>30</v>
      </c>
      <c r="G8" s="10"/>
      <c r="H8" s="16">
        <f>4+1+2</f>
        <v>7</v>
      </c>
      <c r="I8" s="17">
        <f>2</f>
        <v>2</v>
      </c>
      <c r="J8" s="8">
        <f t="shared" si="0"/>
        <v>47.47</v>
      </c>
    </row>
    <row r="9" spans="1:12" ht="24.75" customHeight="1" x14ac:dyDescent="0.25">
      <c r="A9" s="8">
        <v>4</v>
      </c>
      <c r="B9" s="9" t="s">
        <v>7</v>
      </c>
      <c r="C9" s="8" t="s">
        <v>12</v>
      </c>
      <c r="D9" s="8" t="s">
        <v>9</v>
      </c>
      <c r="E9" s="8">
        <v>89</v>
      </c>
      <c r="F9" s="8">
        <v>80</v>
      </c>
      <c r="G9" s="10"/>
      <c r="H9" s="16">
        <f>15+3</f>
        <v>18</v>
      </c>
      <c r="I9" s="17">
        <f>17</f>
        <v>17</v>
      </c>
      <c r="J9" s="8">
        <f t="shared" si="0"/>
        <v>134</v>
      </c>
    </row>
    <row r="10" spans="1:12" ht="24.75" customHeight="1" x14ac:dyDescent="0.25">
      <c r="A10" s="8">
        <v>5</v>
      </c>
      <c r="B10" s="9" t="s">
        <v>7</v>
      </c>
      <c r="C10" s="8" t="s">
        <v>13</v>
      </c>
      <c r="D10" s="8" t="s">
        <v>9</v>
      </c>
      <c r="E10" s="8">
        <v>62.97</v>
      </c>
      <c r="F10" s="8">
        <v>80</v>
      </c>
      <c r="G10" s="10"/>
      <c r="H10" s="16">
        <f>8+18</f>
        <v>26</v>
      </c>
      <c r="I10" s="17">
        <f>12</f>
        <v>12</v>
      </c>
      <c r="J10" s="8">
        <f t="shared" si="0"/>
        <v>104.97</v>
      </c>
    </row>
    <row r="11" spans="1:12" ht="24.75" customHeight="1" x14ac:dyDescent="0.25">
      <c r="A11" s="8">
        <v>6</v>
      </c>
      <c r="B11" s="9" t="s">
        <v>7</v>
      </c>
      <c r="C11" s="8" t="s">
        <v>14</v>
      </c>
      <c r="D11" s="8" t="s">
        <v>9</v>
      </c>
      <c r="E11" s="8">
        <v>208.83</v>
      </c>
      <c r="F11" s="8"/>
      <c r="G11" s="10"/>
      <c r="H11" s="16">
        <f>25+2</f>
        <v>27</v>
      </c>
      <c r="I11" s="17">
        <f>4+1</f>
        <v>5</v>
      </c>
      <c r="J11" s="8">
        <f t="shared" si="0"/>
        <v>176.83</v>
      </c>
    </row>
    <row r="12" spans="1:12" ht="24.75" customHeight="1" x14ac:dyDescent="0.25">
      <c r="A12" s="8">
        <v>7</v>
      </c>
      <c r="B12" s="9" t="s">
        <v>7</v>
      </c>
      <c r="C12" s="8" t="s">
        <v>28</v>
      </c>
      <c r="D12" s="8" t="s">
        <v>9</v>
      </c>
      <c r="E12" s="8">
        <v>29.55</v>
      </c>
      <c r="F12" s="8">
        <v>100</v>
      </c>
      <c r="G12" s="10"/>
      <c r="H12" s="16">
        <f>19+13</f>
        <v>32</v>
      </c>
      <c r="I12" s="17">
        <f>26</f>
        <v>26</v>
      </c>
      <c r="J12" s="8">
        <f t="shared" si="0"/>
        <v>71.550000000000011</v>
      </c>
    </row>
    <row r="13" spans="1:12" ht="24.75" customHeight="1" x14ac:dyDescent="0.25">
      <c r="A13" s="8">
        <v>8</v>
      </c>
      <c r="B13" s="11" t="s">
        <v>16</v>
      </c>
      <c r="C13" s="8" t="s">
        <v>29</v>
      </c>
      <c r="D13" s="8" t="s">
        <v>9</v>
      </c>
      <c r="E13" s="8">
        <v>92.42</v>
      </c>
      <c r="F13" s="8"/>
      <c r="G13" s="10"/>
      <c r="H13" s="16">
        <f>5+1+1+1</f>
        <v>8</v>
      </c>
      <c r="I13" s="17">
        <f>2</f>
        <v>2</v>
      </c>
      <c r="J13" s="8">
        <f t="shared" si="0"/>
        <v>82.42</v>
      </c>
    </row>
    <row r="14" spans="1:12" ht="24.75" customHeight="1" x14ac:dyDescent="0.25">
      <c r="A14" s="8">
        <v>9</v>
      </c>
      <c r="B14" s="11" t="s">
        <v>16</v>
      </c>
      <c r="C14" s="8" t="s">
        <v>30</v>
      </c>
      <c r="D14" s="8" t="s">
        <v>9</v>
      </c>
      <c r="E14" s="8">
        <v>7</v>
      </c>
      <c r="F14" s="8"/>
      <c r="G14" s="8"/>
      <c r="H14" s="16"/>
      <c r="I14" s="17"/>
      <c r="J14" s="8">
        <f t="shared" si="0"/>
        <v>7</v>
      </c>
    </row>
    <row r="15" spans="1:12" ht="24.75" customHeight="1" x14ac:dyDescent="0.25">
      <c r="A15" s="8">
        <v>10</v>
      </c>
      <c r="B15" s="11" t="s">
        <v>19</v>
      </c>
      <c r="C15" s="8" t="s">
        <v>31</v>
      </c>
      <c r="D15" s="8" t="s">
        <v>9</v>
      </c>
      <c r="E15" s="8">
        <v>24</v>
      </c>
      <c r="F15" s="8"/>
      <c r="G15" s="8"/>
      <c r="H15" s="16">
        <f>1</f>
        <v>1</v>
      </c>
      <c r="I15" s="17"/>
      <c r="J15" s="8">
        <f t="shared" si="0"/>
        <v>23</v>
      </c>
    </row>
    <row r="16" spans="1:12" ht="24.75" customHeight="1" x14ac:dyDescent="0.25">
      <c r="A16" s="8">
        <v>11</v>
      </c>
      <c r="B16" s="11" t="s">
        <v>19</v>
      </c>
      <c r="C16" s="8" t="s">
        <v>32</v>
      </c>
      <c r="D16" s="8" t="s">
        <v>9</v>
      </c>
      <c r="E16" s="8">
        <v>10.35</v>
      </c>
      <c r="F16" s="8"/>
      <c r="G16" s="8"/>
      <c r="H16" s="16"/>
      <c r="I16" s="17"/>
      <c r="J16" s="8">
        <f t="shared" si="0"/>
        <v>10.35</v>
      </c>
    </row>
    <row r="17" spans="1:10" ht="24.75" customHeight="1" x14ac:dyDescent="0.25">
      <c r="A17" s="8">
        <v>12</v>
      </c>
      <c r="B17" s="11" t="s">
        <v>19</v>
      </c>
      <c r="C17" s="8" t="s">
        <v>33</v>
      </c>
      <c r="D17" s="8" t="s">
        <v>9</v>
      </c>
      <c r="E17" s="8">
        <v>30.24</v>
      </c>
      <c r="F17" s="8"/>
      <c r="G17" s="8"/>
      <c r="H17" s="16"/>
      <c r="I17" s="17"/>
      <c r="J17" s="8">
        <f t="shared" si="0"/>
        <v>30.24</v>
      </c>
    </row>
    <row r="18" spans="1:10" ht="24.75" customHeight="1" x14ac:dyDescent="0.25">
      <c r="A18" s="8">
        <v>13</v>
      </c>
      <c r="B18" s="11" t="s">
        <v>19</v>
      </c>
      <c r="C18" s="8" t="s">
        <v>34</v>
      </c>
      <c r="D18" s="8" t="s">
        <v>9</v>
      </c>
      <c r="E18" s="8">
        <v>8.5500000000000007</v>
      </c>
      <c r="F18" s="8"/>
      <c r="G18" s="8"/>
      <c r="H18" s="16"/>
      <c r="I18" s="17"/>
      <c r="J18" s="8">
        <f t="shared" si="0"/>
        <v>8.5500000000000007</v>
      </c>
    </row>
    <row r="19" spans="1:10" ht="21" customHeight="1" x14ac:dyDescent="0.25">
      <c r="A19" s="8"/>
      <c r="B19" s="11"/>
      <c r="C19" s="11"/>
      <c r="D19" s="8"/>
      <c r="E19" s="8"/>
      <c r="F19" s="8"/>
      <c r="G19" s="8"/>
      <c r="H19" s="16"/>
      <c r="I19" s="17"/>
      <c r="J19" s="8"/>
    </row>
    <row r="20" spans="1:10" ht="26.25" customHeight="1" x14ac:dyDescent="0.25">
      <c r="A20" s="8" t="s">
        <v>35</v>
      </c>
      <c r="B20" s="9"/>
      <c r="C20" s="11"/>
      <c r="D20" s="8"/>
      <c r="E20" s="8">
        <f>SUM(E6:E19)</f>
        <v>666.91</v>
      </c>
      <c r="F20" s="8">
        <f>SUM(F6:F18)</f>
        <v>390</v>
      </c>
      <c r="G20" s="8">
        <f>SUM(G6:G16)</f>
        <v>0</v>
      </c>
      <c r="H20" s="8">
        <f>SUM(H6:H18)</f>
        <v>121.53</v>
      </c>
      <c r="I20" s="8">
        <f>SUM(I6:I18)</f>
        <v>76</v>
      </c>
      <c r="J20" s="8">
        <f>SUM(J6:J19)</f>
        <v>859.38000000000011</v>
      </c>
    </row>
  </sheetData>
  <mergeCells count="6">
    <mergeCell ref="A1:J2"/>
    <mergeCell ref="H4:I4"/>
    <mergeCell ref="A4:A5"/>
    <mergeCell ref="B4:B5"/>
    <mergeCell ref="C4:C5"/>
    <mergeCell ref="D4:D5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23"/>
  <sheetViews>
    <sheetView topLeftCell="A4" workbookViewId="0">
      <selection activeCell="C25" sqref="C25:C2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6" width="10.59765625" style="6" customWidth="1"/>
    <col min="7" max="8" width="10.59765625" style="6" hidden="1" customWidth="1"/>
    <col min="9" max="10" width="10.59765625" style="6" customWidth="1"/>
    <col min="11" max="256" width="8.8984375" customWidth="1"/>
  </cols>
  <sheetData>
    <row r="1" spans="1:10" ht="14.25" customHeight="1" x14ac:dyDescent="0.25">
      <c r="A1" s="119" t="s">
        <v>46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14.25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</row>
    <row r="3" spans="1:10" x14ac:dyDescent="0.25">
      <c r="A3" s="117" t="s">
        <v>2</v>
      </c>
      <c r="B3" s="117" t="s">
        <v>3</v>
      </c>
      <c r="C3" s="116" t="s">
        <v>4</v>
      </c>
      <c r="D3" s="115" t="s">
        <v>5</v>
      </c>
      <c r="E3" s="8" t="s">
        <v>21</v>
      </c>
      <c r="F3" s="8" t="s">
        <v>22</v>
      </c>
      <c r="G3" s="8"/>
      <c r="H3" s="8"/>
      <c r="I3" s="12" t="s">
        <v>23</v>
      </c>
      <c r="J3" s="8" t="s">
        <v>24</v>
      </c>
    </row>
    <row r="4" spans="1:10" x14ac:dyDescent="0.25">
      <c r="A4" s="118"/>
      <c r="B4" s="118"/>
      <c r="C4" s="116"/>
      <c r="D4" s="115"/>
      <c r="E4" s="8" t="s">
        <v>25</v>
      </c>
      <c r="F4" s="8" t="s">
        <v>25</v>
      </c>
      <c r="G4" s="8"/>
      <c r="H4" s="8"/>
      <c r="I4" s="8" t="s">
        <v>25</v>
      </c>
      <c r="J4" s="8" t="s">
        <v>25</v>
      </c>
    </row>
    <row r="5" spans="1:10" x14ac:dyDescent="0.25">
      <c r="A5" s="8">
        <v>1</v>
      </c>
      <c r="B5" s="9" t="s">
        <v>7</v>
      </c>
      <c r="C5" s="8" t="s">
        <v>11</v>
      </c>
      <c r="D5" s="8" t="s">
        <v>9</v>
      </c>
      <c r="E5" s="8">
        <v>9</v>
      </c>
      <c r="F5" s="8"/>
      <c r="G5" s="10" t="e">
        <f t="shared" ref="G5:G13" si="0">H5/F5</f>
        <v>#DIV/0!</v>
      </c>
      <c r="H5" s="8">
        <v>8762.74</v>
      </c>
      <c r="I5" s="8"/>
      <c r="J5" s="8">
        <f t="shared" ref="J5:J14" si="1">E5+F5-I5</f>
        <v>9</v>
      </c>
    </row>
    <row r="6" spans="1:10" x14ac:dyDescent="0.25">
      <c r="A6" s="8">
        <v>2</v>
      </c>
      <c r="B6" s="9" t="s">
        <v>7</v>
      </c>
      <c r="C6" s="8" t="s">
        <v>8</v>
      </c>
      <c r="D6" s="8" t="s">
        <v>9</v>
      </c>
      <c r="E6" s="8">
        <v>74</v>
      </c>
      <c r="F6" s="8">
        <v>40</v>
      </c>
      <c r="G6" s="10">
        <f t="shared" si="0"/>
        <v>2662.6282500000002</v>
      </c>
      <c r="H6" s="8">
        <v>106505.13</v>
      </c>
      <c r="I6" s="8">
        <v>50</v>
      </c>
      <c r="J6" s="8">
        <f t="shared" si="1"/>
        <v>64</v>
      </c>
    </row>
    <row r="7" spans="1:10" x14ac:dyDescent="0.25">
      <c r="A7" s="8">
        <v>3</v>
      </c>
      <c r="B7" s="9" t="s">
        <v>7</v>
      </c>
      <c r="C7" s="8" t="s">
        <v>10</v>
      </c>
      <c r="D7" s="8" t="s">
        <v>9</v>
      </c>
      <c r="E7" s="8">
        <v>9</v>
      </c>
      <c r="F7" s="8"/>
      <c r="G7" s="10" t="e">
        <f t="shared" si="0"/>
        <v>#DIV/0!</v>
      </c>
      <c r="H7" s="8">
        <v>11045.13</v>
      </c>
      <c r="I7" s="8"/>
      <c r="J7" s="8">
        <f t="shared" si="1"/>
        <v>9</v>
      </c>
    </row>
    <row r="8" spans="1:10" x14ac:dyDescent="0.25">
      <c r="A8" s="8">
        <v>4</v>
      </c>
      <c r="B8" s="9" t="s">
        <v>7</v>
      </c>
      <c r="C8" s="8" t="s">
        <v>12</v>
      </c>
      <c r="D8" s="8" t="s">
        <v>9</v>
      </c>
      <c r="E8" s="8">
        <v>15</v>
      </c>
      <c r="F8" s="8">
        <v>30</v>
      </c>
      <c r="G8" s="10">
        <f t="shared" si="0"/>
        <v>2176.5583333333334</v>
      </c>
      <c r="H8" s="8">
        <v>65296.75</v>
      </c>
      <c r="I8" s="8"/>
      <c r="J8" s="8">
        <f t="shared" si="1"/>
        <v>45</v>
      </c>
    </row>
    <row r="9" spans="1:10" x14ac:dyDescent="0.25">
      <c r="A9" s="8">
        <v>5</v>
      </c>
      <c r="B9" s="11" t="s">
        <v>16</v>
      </c>
      <c r="C9" s="8" t="s">
        <v>47</v>
      </c>
      <c r="D9" s="8" t="s">
        <v>9</v>
      </c>
      <c r="E9" s="8">
        <v>20</v>
      </c>
      <c r="F9" s="8"/>
      <c r="G9" s="10" t="e">
        <f t="shared" si="0"/>
        <v>#DIV/0!</v>
      </c>
      <c r="H9" s="8"/>
      <c r="I9" s="8"/>
      <c r="J9" s="8">
        <f t="shared" si="1"/>
        <v>20</v>
      </c>
    </row>
    <row r="10" spans="1:10" x14ac:dyDescent="0.25">
      <c r="A10" s="8">
        <v>6</v>
      </c>
      <c r="B10" s="9" t="s">
        <v>7</v>
      </c>
      <c r="C10" s="8" t="s">
        <v>13</v>
      </c>
      <c r="D10" s="8" t="s">
        <v>9</v>
      </c>
      <c r="E10" s="8">
        <v>60</v>
      </c>
      <c r="F10" s="8">
        <v>80</v>
      </c>
      <c r="G10" s="10">
        <f t="shared" si="0"/>
        <v>405.82474999999999</v>
      </c>
      <c r="H10" s="8">
        <v>32465.98</v>
      </c>
      <c r="I10" s="8">
        <f>11+60</f>
        <v>71</v>
      </c>
      <c r="J10" s="8">
        <f t="shared" si="1"/>
        <v>69</v>
      </c>
    </row>
    <row r="11" spans="1:10" x14ac:dyDescent="0.25">
      <c r="A11" s="8">
        <v>7</v>
      </c>
      <c r="B11" s="11" t="s">
        <v>16</v>
      </c>
      <c r="C11" s="8" t="s">
        <v>48</v>
      </c>
      <c r="D11" s="8" t="s">
        <v>9</v>
      </c>
      <c r="E11" s="8">
        <v>68</v>
      </c>
      <c r="F11" s="8"/>
      <c r="G11" s="10" t="e">
        <f t="shared" si="0"/>
        <v>#DIV/0!</v>
      </c>
      <c r="H11" s="8">
        <v>20016.669999999998</v>
      </c>
      <c r="I11" s="8">
        <v>68</v>
      </c>
      <c r="J11" s="8">
        <f t="shared" si="1"/>
        <v>0</v>
      </c>
    </row>
    <row r="12" spans="1:10" x14ac:dyDescent="0.25">
      <c r="A12" s="8">
        <v>8</v>
      </c>
      <c r="B12" s="9" t="s">
        <v>7</v>
      </c>
      <c r="C12" s="11" t="s">
        <v>14</v>
      </c>
      <c r="D12" s="8" t="s">
        <v>9</v>
      </c>
      <c r="E12" s="8"/>
      <c r="F12" s="8">
        <v>40</v>
      </c>
      <c r="G12" s="10">
        <f t="shared" si="0"/>
        <v>0</v>
      </c>
      <c r="H12" s="8"/>
      <c r="I12" s="8"/>
      <c r="J12" s="8">
        <f t="shared" si="1"/>
        <v>40</v>
      </c>
    </row>
    <row r="13" spans="1:10" x14ac:dyDescent="0.25">
      <c r="A13" s="8">
        <v>9</v>
      </c>
      <c r="B13" s="11" t="s">
        <v>16</v>
      </c>
      <c r="C13" s="11" t="s">
        <v>49</v>
      </c>
      <c r="D13" s="8" t="s">
        <v>9</v>
      </c>
      <c r="E13" s="8"/>
      <c r="F13" s="8">
        <v>81</v>
      </c>
      <c r="G13" s="8">
        <f t="shared" si="0"/>
        <v>0</v>
      </c>
      <c r="H13" s="8"/>
      <c r="I13" s="8">
        <v>12</v>
      </c>
      <c r="J13" s="8">
        <f t="shared" si="1"/>
        <v>69</v>
      </c>
    </row>
    <row r="14" spans="1:10" x14ac:dyDescent="0.25">
      <c r="A14" s="8">
        <v>10</v>
      </c>
      <c r="B14" s="11"/>
      <c r="C14" s="11"/>
      <c r="D14" s="8"/>
      <c r="E14" s="8"/>
      <c r="F14" s="8"/>
      <c r="G14" s="8"/>
      <c r="H14" s="8"/>
      <c r="I14" s="8"/>
      <c r="J14" s="8">
        <f t="shared" si="1"/>
        <v>0</v>
      </c>
    </row>
    <row r="15" spans="1:10" x14ac:dyDescent="0.25">
      <c r="A15" s="8">
        <v>11</v>
      </c>
      <c r="B15" s="11"/>
      <c r="C15" s="11"/>
      <c r="D15" s="8"/>
      <c r="E15" s="8"/>
      <c r="F15" s="8"/>
      <c r="G15" s="8"/>
      <c r="H15" s="8"/>
      <c r="I15" s="8"/>
      <c r="J15" s="8"/>
    </row>
    <row r="16" spans="1:10" x14ac:dyDescent="0.25">
      <c r="A16" s="8">
        <v>12</v>
      </c>
      <c r="B16" s="11"/>
      <c r="C16" s="11"/>
      <c r="D16" s="8"/>
      <c r="E16" s="8"/>
      <c r="F16" s="8"/>
      <c r="G16" s="8"/>
      <c r="H16" s="8"/>
      <c r="I16" s="8"/>
      <c r="J16" s="8"/>
    </row>
    <row r="17" spans="1:10" x14ac:dyDescent="0.25">
      <c r="A17" s="8">
        <v>13</v>
      </c>
      <c r="B17" s="11"/>
      <c r="C17" s="11"/>
      <c r="D17" s="8"/>
      <c r="E17" s="8"/>
      <c r="F17" s="8"/>
      <c r="G17" s="8"/>
      <c r="H17" s="8"/>
      <c r="I17" s="8"/>
      <c r="J17" s="8"/>
    </row>
    <row r="18" spans="1:10" x14ac:dyDescent="0.25">
      <c r="A18" s="8">
        <v>14</v>
      </c>
      <c r="B18" s="11"/>
      <c r="C18" s="11"/>
      <c r="D18" s="8"/>
      <c r="E18" s="8"/>
      <c r="F18" s="8"/>
      <c r="G18" s="8"/>
      <c r="H18" s="8"/>
      <c r="I18" s="8"/>
      <c r="J18" s="8"/>
    </row>
    <row r="19" spans="1:10" x14ac:dyDescent="0.25">
      <c r="A19" s="8">
        <v>15</v>
      </c>
      <c r="B19" s="11"/>
      <c r="C19" s="11"/>
      <c r="D19" s="8"/>
      <c r="E19" s="8"/>
      <c r="F19" s="8"/>
      <c r="G19" s="8"/>
      <c r="H19" s="8"/>
      <c r="I19" s="8"/>
      <c r="J19" s="8"/>
    </row>
    <row r="20" spans="1:10" x14ac:dyDescent="0.25">
      <c r="A20" s="8">
        <v>16</v>
      </c>
      <c r="B20" s="11"/>
      <c r="C20" s="11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9"/>
      <c r="C21" s="11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9"/>
      <c r="C22" s="11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9"/>
      <c r="C23" s="11"/>
      <c r="D23" s="8"/>
      <c r="E23" s="8"/>
      <c r="F23" s="8"/>
      <c r="G23" s="8"/>
      <c r="H23" s="8"/>
      <c r="I23" s="8"/>
      <c r="J23" s="8"/>
    </row>
  </sheetData>
  <mergeCells count="5">
    <mergeCell ref="A3:A4"/>
    <mergeCell ref="B3:B4"/>
    <mergeCell ref="C3:C4"/>
    <mergeCell ref="D3:D4"/>
    <mergeCell ref="A1:J2"/>
  </mergeCells>
  <phoneticPr fontId="11" type="noConversion"/>
  <pageMargins left="0.75" right="0.75" top="1" bottom="1" header="0.5" footer="0.5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"/>
  <sheetViews>
    <sheetView workbookViewId="0">
      <selection activeCell="M16" sqref="M16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10" width="10.59765625" style="6" customWidth="1"/>
    <col min="11" max="256" width="8.8984375" customWidth="1"/>
  </cols>
  <sheetData>
    <row r="1" spans="1:11" ht="14.25" customHeight="1" x14ac:dyDescent="0.25">
      <c r="A1" s="119" t="s">
        <v>50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1" ht="14.25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</row>
    <row r="3" spans="1:11" x14ac:dyDescent="0.25">
      <c r="A3" s="117" t="s">
        <v>2</v>
      </c>
      <c r="B3" s="117" t="s">
        <v>3</v>
      </c>
      <c r="C3" s="116" t="s">
        <v>4</v>
      </c>
      <c r="D3" s="115" t="s">
        <v>5</v>
      </c>
      <c r="E3" s="8" t="s">
        <v>21</v>
      </c>
      <c r="F3" s="8" t="s">
        <v>22</v>
      </c>
      <c r="G3" s="8"/>
      <c r="H3" s="8"/>
      <c r="I3" s="12" t="s">
        <v>23</v>
      </c>
      <c r="J3" s="8" t="s">
        <v>24</v>
      </c>
      <c r="K3" s="13" t="s">
        <v>51</v>
      </c>
    </row>
    <row r="4" spans="1:11" x14ac:dyDescent="0.25">
      <c r="A4" s="118"/>
      <c r="B4" s="118"/>
      <c r="C4" s="116"/>
      <c r="D4" s="115"/>
      <c r="E4" s="8" t="s">
        <v>25</v>
      </c>
      <c r="F4" s="8" t="s">
        <v>25</v>
      </c>
      <c r="G4" s="8"/>
      <c r="H4" s="8"/>
      <c r="I4" s="8" t="s">
        <v>25</v>
      </c>
      <c r="J4" s="8" t="s">
        <v>25</v>
      </c>
    </row>
    <row r="5" spans="1:11" x14ac:dyDescent="0.25">
      <c r="A5" s="8">
        <v>1</v>
      </c>
      <c r="B5" s="9" t="s">
        <v>52</v>
      </c>
      <c r="C5" s="9">
        <v>60</v>
      </c>
      <c r="D5" s="8" t="s">
        <v>53</v>
      </c>
      <c r="E5" s="8"/>
      <c r="F5" s="8">
        <v>2</v>
      </c>
      <c r="G5" s="8">
        <v>477.77780000000001</v>
      </c>
      <c r="H5" s="8">
        <v>955.56</v>
      </c>
      <c r="I5" s="8"/>
      <c r="J5" s="8">
        <f>E5+F5-I5</f>
        <v>2</v>
      </c>
    </row>
    <row r="6" spans="1:11" x14ac:dyDescent="0.25">
      <c r="A6" s="8">
        <v>2</v>
      </c>
      <c r="B6" s="9" t="s">
        <v>52</v>
      </c>
      <c r="C6" s="9">
        <v>40</v>
      </c>
      <c r="D6" s="8" t="s">
        <v>53</v>
      </c>
      <c r="E6" s="8"/>
      <c r="F6" s="8">
        <v>5</v>
      </c>
      <c r="G6" s="8">
        <v>198.29060000000001</v>
      </c>
      <c r="H6" s="8">
        <v>991.45</v>
      </c>
      <c r="I6" s="8"/>
      <c r="J6" s="8">
        <f t="shared" ref="J6:J23" si="0">E6+F6-I6</f>
        <v>5</v>
      </c>
    </row>
    <row r="7" spans="1:11" x14ac:dyDescent="0.25">
      <c r="A7" s="8">
        <v>3</v>
      </c>
      <c r="B7" s="9" t="s">
        <v>52</v>
      </c>
      <c r="C7" s="9" t="s">
        <v>54</v>
      </c>
      <c r="D7" s="8" t="s">
        <v>53</v>
      </c>
      <c r="E7" s="8"/>
      <c r="F7" s="8">
        <v>2</v>
      </c>
      <c r="G7" s="8">
        <v>51.2821</v>
      </c>
      <c r="H7" s="8">
        <v>102.56</v>
      </c>
      <c r="I7" s="8"/>
      <c r="J7" s="8">
        <f t="shared" si="0"/>
        <v>2</v>
      </c>
    </row>
    <row r="8" spans="1:11" x14ac:dyDescent="0.25">
      <c r="A8" s="8">
        <v>4</v>
      </c>
      <c r="B8" s="9" t="s">
        <v>52</v>
      </c>
      <c r="C8" s="9" t="s">
        <v>55</v>
      </c>
      <c r="D8" s="8" t="s">
        <v>53</v>
      </c>
      <c r="E8" s="8"/>
      <c r="F8" s="8">
        <v>5</v>
      </c>
      <c r="G8" s="8">
        <v>19.658100000000001</v>
      </c>
      <c r="H8" s="8">
        <v>98.29</v>
      </c>
      <c r="I8" s="8"/>
      <c r="J8" s="8">
        <f t="shared" si="0"/>
        <v>5</v>
      </c>
    </row>
    <row r="9" spans="1:11" x14ac:dyDescent="0.25">
      <c r="A9" s="8">
        <v>5</v>
      </c>
      <c r="B9" s="9" t="s">
        <v>52</v>
      </c>
      <c r="C9" s="9" t="s">
        <v>56</v>
      </c>
      <c r="D9" s="8" t="s">
        <v>53</v>
      </c>
      <c r="E9" s="8"/>
      <c r="F9" s="8">
        <v>20</v>
      </c>
      <c r="G9" s="8">
        <v>27.3504</v>
      </c>
      <c r="H9" s="8">
        <v>547.01</v>
      </c>
      <c r="I9" s="8"/>
      <c r="J9" s="8">
        <f t="shared" si="0"/>
        <v>20</v>
      </c>
    </row>
    <row r="10" spans="1:11" x14ac:dyDescent="0.25">
      <c r="A10" s="8">
        <v>6</v>
      </c>
      <c r="B10" s="9" t="s">
        <v>57</v>
      </c>
      <c r="C10" s="9" t="s">
        <v>58</v>
      </c>
      <c r="D10" s="8" t="s">
        <v>53</v>
      </c>
      <c r="E10" s="8"/>
      <c r="F10" s="8">
        <v>15</v>
      </c>
      <c r="G10" s="8">
        <v>42.734999999999999</v>
      </c>
      <c r="H10" s="8">
        <v>641.03</v>
      </c>
      <c r="I10" s="8"/>
      <c r="J10" s="8">
        <f t="shared" si="0"/>
        <v>15</v>
      </c>
    </row>
    <row r="11" spans="1:11" x14ac:dyDescent="0.25">
      <c r="A11" s="8">
        <v>7</v>
      </c>
      <c r="B11" s="9" t="s">
        <v>57</v>
      </c>
      <c r="C11" s="9" t="s">
        <v>59</v>
      </c>
      <c r="D11" s="8" t="s">
        <v>53</v>
      </c>
      <c r="E11" s="8"/>
      <c r="F11" s="8">
        <v>23</v>
      </c>
      <c r="G11" s="8">
        <v>20.512799999999999</v>
      </c>
      <c r="H11" s="8">
        <v>471.79</v>
      </c>
      <c r="I11" s="8"/>
      <c r="J11" s="8">
        <f t="shared" si="0"/>
        <v>23</v>
      </c>
    </row>
    <row r="12" spans="1:11" x14ac:dyDescent="0.25">
      <c r="A12" s="8">
        <v>8</v>
      </c>
      <c r="B12" s="9" t="s">
        <v>60</v>
      </c>
      <c r="C12" s="9" t="s">
        <v>61</v>
      </c>
      <c r="D12" s="8" t="s">
        <v>53</v>
      </c>
      <c r="E12" s="8"/>
      <c r="F12" s="8">
        <v>2</v>
      </c>
      <c r="G12" s="8">
        <v>1247.8632</v>
      </c>
      <c r="H12" s="8">
        <v>2495.73</v>
      </c>
      <c r="I12" s="8"/>
      <c r="J12" s="8">
        <f t="shared" si="0"/>
        <v>2</v>
      </c>
    </row>
    <row r="13" spans="1:11" x14ac:dyDescent="0.25">
      <c r="A13" s="8">
        <v>9</v>
      </c>
      <c r="B13" s="9" t="s">
        <v>62</v>
      </c>
      <c r="C13" s="9" t="s">
        <v>63</v>
      </c>
      <c r="D13" s="8" t="s">
        <v>53</v>
      </c>
      <c r="E13" s="8"/>
      <c r="F13" s="8">
        <v>100</v>
      </c>
      <c r="G13" s="8">
        <v>64.102599999999995</v>
      </c>
      <c r="H13" s="8">
        <v>6410.26</v>
      </c>
      <c r="I13" s="8"/>
      <c r="J13" s="8">
        <f t="shared" si="0"/>
        <v>100</v>
      </c>
    </row>
    <row r="14" spans="1:11" x14ac:dyDescent="0.25">
      <c r="A14" s="8">
        <v>10</v>
      </c>
      <c r="B14" s="9" t="s">
        <v>62</v>
      </c>
      <c r="C14" s="9" t="s">
        <v>64</v>
      </c>
      <c r="D14" s="8" t="s">
        <v>53</v>
      </c>
      <c r="E14" s="8"/>
      <c r="F14" s="8">
        <v>50</v>
      </c>
      <c r="G14" s="8">
        <v>25.640999999999998</v>
      </c>
      <c r="H14" s="8">
        <v>1282.05</v>
      </c>
      <c r="I14" s="8"/>
      <c r="J14" s="8">
        <f t="shared" si="0"/>
        <v>50</v>
      </c>
    </row>
    <row r="15" spans="1:11" x14ac:dyDescent="0.25">
      <c r="A15" s="8">
        <v>11</v>
      </c>
      <c r="B15" s="9" t="s">
        <v>57</v>
      </c>
      <c r="C15" s="11" t="s">
        <v>65</v>
      </c>
      <c r="D15" s="8" t="s">
        <v>53</v>
      </c>
      <c r="E15" s="8"/>
      <c r="F15" s="8">
        <v>13</v>
      </c>
      <c r="G15" s="8"/>
      <c r="H15" s="8">
        <v>0</v>
      </c>
      <c r="I15" s="8"/>
      <c r="J15" s="8">
        <f t="shared" si="0"/>
        <v>13</v>
      </c>
    </row>
    <row r="16" spans="1:11" x14ac:dyDescent="0.25">
      <c r="A16" s="8">
        <v>12</v>
      </c>
      <c r="B16" s="11" t="s">
        <v>66</v>
      </c>
      <c r="C16" s="11" t="s">
        <v>67</v>
      </c>
      <c r="D16" s="8" t="s">
        <v>53</v>
      </c>
      <c r="E16" s="8"/>
      <c r="F16" s="8">
        <v>28</v>
      </c>
      <c r="G16" s="8"/>
      <c r="H16" s="8">
        <v>0</v>
      </c>
      <c r="I16" s="8"/>
      <c r="J16" s="8">
        <f t="shared" si="0"/>
        <v>28</v>
      </c>
    </row>
    <row r="17" spans="1:10" x14ac:dyDescent="0.25">
      <c r="A17" s="8">
        <v>13</v>
      </c>
      <c r="B17" s="9" t="s">
        <v>57</v>
      </c>
      <c r="C17" s="11" t="s">
        <v>68</v>
      </c>
      <c r="D17" s="8" t="s">
        <v>53</v>
      </c>
      <c r="E17" s="8"/>
      <c r="F17" s="8">
        <v>30</v>
      </c>
      <c r="G17" s="8"/>
      <c r="H17" s="8">
        <v>0</v>
      </c>
      <c r="I17" s="8"/>
      <c r="J17" s="8">
        <f t="shared" si="0"/>
        <v>30</v>
      </c>
    </row>
    <row r="18" spans="1:10" x14ac:dyDescent="0.25">
      <c r="A18" s="8">
        <v>14</v>
      </c>
      <c r="B18" s="9" t="s">
        <v>57</v>
      </c>
      <c r="C18" s="11" t="s">
        <v>69</v>
      </c>
      <c r="D18" s="8" t="s">
        <v>53</v>
      </c>
      <c r="E18" s="8"/>
      <c r="F18" s="8">
        <v>18</v>
      </c>
      <c r="G18" s="8"/>
      <c r="H18" s="8">
        <v>0</v>
      </c>
      <c r="I18" s="8"/>
      <c r="J18" s="8">
        <f t="shared" si="0"/>
        <v>18</v>
      </c>
    </row>
    <row r="19" spans="1:10" x14ac:dyDescent="0.25">
      <c r="A19" s="8">
        <v>15</v>
      </c>
      <c r="B19" s="9" t="s">
        <v>57</v>
      </c>
      <c r="C19" s="11" t="s">
        <v>70</v>
      </c>
      <c r="D19" s="8" t="s">
        <v>53</v>
      </c>
      <c r="E19" s="8"/>
      <c r="F19" s="8">
        <v>19</v>
      </c>
      <c r="G19" s="8"/>
      <c r="H19" s="8">
        <v>0</v>
      </c>
      <c r="I19" s="8"/>
      <c r="J19" s="8">
        <f t="shared" si="0"/>
        <v>19</v>
      </c>
    </row>
    <row r="20" spans="1:10" x14ac:dyDescent="0.25">
      <c r="A20" s="8">
        <v>16</v>
      </c>
      <c r="B20" s="9" t="s">
        <v>52</v>
      </c>
      <c r="C20" s="11" t="s">
        <v>71</v>
      </c>
      <c r="D20" s="8"/>
      <c r="E20" s="8"/>
      <c r="F20" s="8">
        <v>2</v>
      </c>
      <c r="G20" s="8">
        <v>76.923100000000005</v>
      </c>
      <c r="H20" s="8">
        <v>153.85</v>
      </c>
      <c r="I20" s="8"/>
      <c r="J20" s="8">
        <f t="shared" si="0"/>
        <v>2</v>
      </c>
    </row>
    <row r="21" spans="1:10" x14ac:dyDescent="0.25">
      <c r="A21" s="8">
        <v>17</v>
      </c>
      <c r="B21" s="9" t="s">
        <v>57</v>
      </c>
      <c r="C21" s="11" t="s">
        <v>72</v>
      </c>
      <c r="D21" s="8"/>
      <c r="E21" s="8"/>
      <c r="F21" s="8">
        <v>8</v>
      </c>
      <c r="G21" s="8">
        <v>227.35040000000001</v>
      </c>
      <c r="H21" s="8">
        <v>1818.8</v>
      </c>
      <c r="I21" s="8"/>
      <c r="J21" s="8">
        <f t="shared" si="0"/>
        <v>8</v>
      </c>
    </row>
    <row r="22" spans="1:10" x14ac:dyDescent="0.25">
      <c r="A22" s="8"/>
      <c r="B22" s="9"/>
      <c r="C22" s="11"/>
      <c r="D22" s="8"/>
      <c r="E22" s="8"/>
      <c r="F22" s="8"/>
      <c r="G22" s="8"/>
      <c r="H22" s="8"/>
      <c r="I22" s="8"/>
      <c r="J22" s="8">
        <f t="shared" si="0"/>
        <v>0</v>
      </c>
    </row>
    <row r="23" spans="1:10" x14ac:dyDescent="0.25">
      <c r="A23" s="8"/>
      <c r="B23" s="9"/>
      <c r="C23" s="11"/>
      <c r="D23" s="8"/>
      <c r="E23" s="8"/>
      <c r="F23" s="8"/>
      <c r="G23" s="8"/>
      <c r="H23" s="8"/>
      <c r="I23" s="8"/>
      <c r="J23" s="8">
        <f t="shared" si="0"/>
        <v>0</v>
      </c>
    </row>
  </sheetData>
  <mergeCells count="5">
    <mergeCell ref="A3:A4"/>
    <mergeCell ref="B3:B4"/>
    <mergeCell ref="C3:C4"/>
    <mergeCell ref="D3:D4"/>
    <mergeCell ref="A1:J2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workbookViewId="0">
      <selection activeCell="L14" sqref="L14"/>
    </sheetView>
  </sheetViews>
  <sheetFormatPr defaultColWidth="11" defaultRowHeight="15.6" x14ac:dyDescent="0.25"/>
  <cols>
    <col min="1" max="1" width="4.59765625" style="6" customWidth="1"/>
    <col min="2" max="2" width="7.5" style="7" customWidth="1"/>
    <col min="3" max="3" width="17.09765625" customWidth="1"/>
    <col min="4" max="4" width="5.5" style="6" customWidth="1"/>
    <col min="5" max="10" width="10.59765625" style="6" customWidth="1"/>
    <col min="11" max="256" width="8.8984375" customWidth="1"/>
  </cols>
  <sheetData>
    <row r="1" spans="1:11" ht="14.25" customHeight="1" x14ac:dyDescent="0.25">
      <c r="A1" s="119" t="s">
        <v>50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1" ht="14.25" customHeight="1" x14ac:dyDescent="0.25">
      <c r="A2" s="120"/>
      <c r="B2" s="120"/>
      <c r="C2" s="120"/>
      <c r="D2" s="120"/>
      <c r="E2" s="120"/>
      <c r="F2" s="120"/>
      <c r="G2" s="120"/>
      <c r="H2" s="120"/>
      <c r="I2" s="120"/>
      <c r="J2" s="120"/>
    </row>
    <row r="3" spans="1:11" x14ac:dyDescent="0.25">
      <c r="A3" s="117" t="s">
        <v>2</v>
      </c>
      <c r="B3" s="117" t="s">
        <v>3</v>
      </c>
      <c r="C3" s="116" t="s">
        <v>4</v>
      </c>
      <c r="D3" s="115" t="s">
        <v>5</v>
      </c>
      <c r="E3" s="8" t="s">
        <v>21</v>
      </c>
      <c r="F3" s="8" t="s">
        <v>22</v>
      </c>
      <c r="G3" s="8"/>
      <c r="H3" s="8"/>
      <c r="I3" s="12" t="s">
        <v>23</v>
      </c>
      <c r="J3" s="8" t="s">
        <v>24</v>
      </c>
      <c r="K3" s="13" t="s">
        <v>51</v>
      </c>
    </row>
    <row r="4" spans="1:11" x14ac:dyDescent="0.25">
      <c r="A4" s="118"/>
      <c r="B4" s="118"/>
      <c r="C4" s="116"/>
      <c r="D4" s="115"/>
      <c r="E4" s="8" t="s">
        <v>25</v>
      </c>
      <c r="F4" s="8" t="s">
        <v>25</v>
      </c>
      <c r="G4" s="8"/>
      <c r="H4" s="8"/>
      <c r="I4" s="8" t="s">
        <v>25</v>
      </c>
      <c r="J4" s="8" t="s">
        <v>25</v>
      </c>
    </row>
    <row r="5" spans="1:11" x14ac:dyDescent="0.25">
      <c r="A5" s="8">
        <v>1</v>
      </c>
      <c r="B5" s="9" t="s">
        <v>7</v>
      </c>
      <c r="C5" s="9" t="s">
        <v>73</v>
      </c>
      <c r="D5" s="8" t="s">
        <v>9</v>
      </c>
      <c r="E5" s="8">
        <v>0</v>
      </c>
      <c r="F5" s="8">
        <v>10</v>
      </c>
      <c r="G5" s="10">
        <f>H5/F5</f>
        <v>876.274</v>
      </c>
      <c r="H5" s="8">
        <v>8762.74</v>
      </c>
      <c r="I5" s="8">
        <v>1</v>
      </c>
      <c r="J5" s="8">
        <f>E5+F5-I5</f>
        <v>9</v>
      </c>
    </row>
    <row r="6" spans="1:11" x14ac:dyDescent="0.25">
      <c r="A6" s="8">
        <v>2</v>
      </c>
      <c r="B6" s="9" t="s">
        <v>7</v>
      </c>
      <c r="C6" s="9" t="s">
        <v>74</v>
      </c>
      <c r="D6" s="8" t="s">
        <v>9</v>
      </c>
      <c r="E6" s="8">
        <v>0</v>
      </c>
      <c r="F6" s="8">
        <f>30+50</f>
        <v>80</v>
      </c>
      <c r="G6" s="10">
        <f t="shared" ref="G6:G11" si="0">H6/F6</f>
        <v>1331.3141250000001</v>
      </c>
      <c r="H6" s="8">
        <v>106505.13</v>
      </c>
      <c r="I6" s="8">
        <v>6</v>
      </c>
      <c r="J6" s="8">
        <f>E6+F6-I6</f>
        <v>74</v>
      </c>
    </row>
    <row r="7" spans="1:11" x14ac:dyDescent="0.25">
      <c r="A7" s="8">
        <v>3</v>
      </c>
      <c r="B7" s="9" t="s">
        <v>7</v>
      </c>
      <c r="C7" s="9" t="s">
        <v>75</v>
      </c>
      <c r="D7" s="8" t="s">
        <v>9</v>
      </c>
      <c r="E7" s="8">
        <v>0</v>
      </c>
      <c r="F7" s="8">
        <v>10</v>
      </c>
      <c r="G7" s="10">
        <f t="shared" si="0"/>
        <v>1104.5129999999999</v>
      </c>
      <c r="H7" s="8">
        <v>11045.13</v>
      </c>
      <c r="I7" s="8">
        <v>1</v>
      </c>
      <c r="J7" s="8">
        <f>E7+F7-I7</f>
        <v>9</v>
      </c>
    </row>
    <row r="8" spans="1:11" x14ac:dyDescent="0.25">
      <c r="A8" s="8">
        <v>4</v>
      </c>
      <c r="B8" s="9" t="s">
        <v>7</v>
      </c>
      <c r="C8" s="9" t="s">
        <v>76</v>
      </c>
      <c r="D8" s="8" t="s">
        <v>9</v>
      </c>
      <c r="E8" s="8">
        <v>0</v>
      </c>
      <c r="F8" s="8">
        <v>100</v>
      </c>
      <c r="G8" s="10">
        <f t="shared" si="0"/>
        <v>652.96749999999997</v>
      </c>
      <c r="H8" s="8">
        <v>65296.75</v>
      </c>
      <c r="I8" s="8">
        <f>80+5</f>
        <v>85</v>
      </c>
      <c r="J8" s="8">
        <f>E8+F8-I8</f>
        <v>15</v>
      </c>
    </row>
    <row r="9" spans="1:11" x14ac:dyDescent="0.25">
      <c r="A9" s="8">
        <v>5</v>
      </c>
      <c r="B9" s="11" t="s">
        <v>16</v>
      </c>
      <c r="C9" s="11" t="s">
        <v>47</v>
      </c>
      <c r="D9" s="8" t="s">
        <v>9</v>
      </c>
      <c r="E9" s="8">
        <v>0</v>
      </c>
      <c r="F9" s="8">
        <v>20</v>
      </c>
      <c r="G9" s="10">
        <f t="shared" si="0"/>
        <v>0</v>
      </c>
      <c r="H9" s="8"/>
      <c r="I9" s="8">
        <v>0</v>
      </c>
      <c r="J9" s="8">
        <f>E9+F9-I9</f>
        <v>20</v>
      </c>
    </row>
    <row r="10" spans="1:11" x14ac:dyDescent="0.25">
      <c r="A10" s="8">
        <v>6</v>
      </c>
      <c r="B10" s="9" t="s">
        <v>7</v>
      </c>
      <c r="C10" s="9" t="s">
        <v>77</v>
      </c>
      <c r="D10" s="8" t="s">
        <v>9</v>
      </c>
      <c r="E10" s="8"/>
      <c r="F10" s="8">
        <v>60</v>
      </c>
      <c r="G10" s="10">
        <f t="shared" si="0"/>
        <v>541.09966666666662</v>
      </c>
      <c r="H10" s="8">
        <v>32465.98</v>
      </c>
      <c r="I10" s="8"/>
      <c r="J10" s="8"/>
    </row>
    <row r="11" spans="1:11" x14ac:dyDescent="0.25">
      <c r="A11" s="8">
        <v>7</v>
      </c>
      <c r="B11" s="11" t="s">
        <v>16</v>
      </c>
      <c r="C11" s="11" t="s">
        <v>48</v>
      </c>
      <c r="D11" s="8" t="s">
        <v>9</v>
      </c>
      <c r="E11" s="8"/>
      <c r="F11" s="8">
        <v>68</v>
      </c>
      <c r="G11" s="10">
        <f t="shared" si="0"/>
        <v>294.36279411764701</v>
      </c>
      <c r="H11" s="8">
        <v>20016.669999999998</v>
      </c>
      <c r="I11" s="8"/>
      <c r="J11" s="8"/>
    </row>
    <row r="12" spans="1:11" x14ac:dyDescent="0.25">
      <c r="A12" s="8">
        <v>8</v>
      </c>
      <c r="B12" s="11"/>
      <c r="C12" s="11"/>
      <c r="D12" s="8"/>
      <c r="E12" s="8"/>
      <c r="F12" s="8"/>
      <c r="G12" s="8"/>
      <c r="H12" s="8"/>
      <c r="I12" s="8"/>
      <c r="J12" s="8"/>
    </row>
    <row r="13" spans="1:11" x14ac:dyDescent="0.25">
      <c r="A13" s="8">
        <v>9</v>
      </c>
      <c r="B13" s="11"/>
      <c r="C13" s="11"/>
      <c r="D13" s="8"/>
      <c r="E13" s="8"/>
      <c r="F13" s="8"/>
      <c r="G13" s="8"/>
      <c r="H13" s="8"/>
      <c r="I13" s="8"/>
      <c r="J13" s="8"/>
    </row>
    <row r="14" spans="1:11" x14ac:dyDescent="0.25">
      <c r="A14" s="8">
        <v>10</v>
      </c>
      <c r="B14" s="11"/>
      <c r="C14" s="11"/>
      <c r="D14" s="8"/>
      <c r="E14" s="8"/>
      <c r="F14" s="8"/>
      <c r="G14" s="8"/>
      <c r="H14" s="8"/>
      <c r="I14" s="8"/>
      <c r="J14" s="8"/>
    </row>
    <row r="15" spans="1:11" x14ac:dyDescent="0.25">
      <c r="A15" s="8">
        <v>11</v>
      </c>
      <c r="B15" s="11"/>
      <c r="C15" s="11"/>
      <c r="D15" s="8"/>
      <c r="E15" s="8"/>
      <c r="F15" s="8"/>
      <c r="G15" s="8"/>
      <c r="H15" s="8"/>
      <c r="I15" s="8"/>
      <c r="J15" s="8"/>
    </row>
    <row r="16" spans="1:11" x14ac:dyDescent="0.25">
      <c r="A16" s="8">
        <v>12</v>
      </c>
      <c r="B16" s="11"/>
      <c r="C16" s="11"/>
      <c r="D16" s="8"/>
      <c r="E16" s="8"/>
      <c r="F16" s="8"/>
      <c r="G16" s="8"/>
      <c r="H16" s="8"/>
      <c r="I16" s="8"/>
      <c r="J16" s="8"/>
    </row>
    <row r="17" spans="1:10" x14ac:dyDescent="0.25">
      <c r="A17" s="8">
        <v>13</v>
      </c>
      <c r="B17" s="11"/>
      <c r="C17" s="11"/>
      <c r="D17" s="8"/>
      <c r="E17" s="8"/>
      <c r="F17" s="8"/>
      <c r="G17" s="8"/>
      <c r="H17" s="8"/>
      <c r="I17" s="8"/>
      <c r="J17" s="8"/>
    </row>
    <row r="18" spans="1:10" x14ac:dyDescent="0.25">
      <c r="A18" s="8">
        <v>14</v>
      </c>
      <c r="B18" s="11"/>
      <c r="C18" s="11"/>
      <c r="D18" s="8"/>
      <c r="E18" s="8"/>
      <c r="F18" s="8"/>
      <c r="G18" s="8"/>
      <c r="H18" s="8"/>
      <c r="I18" s="8"/>
      <c r="J18" s="8"/>
    </row>
    <row r="19" spans="1:10" x14ac:dyDescent="0.25">
      <c r="A19" s="8">
        <v>15</v>
      </c>
      <c r="B19" s="11"/>
      <c r="C19" s="11"/>
      <c r="D19" s="8"/>
      <c r="E19" s="8"/>
      <c r="F19" s="8"/>
      <c r="G19" s="8"/>
      <c r="H19" s="8"/>
      <c r="I19" s="8"/>
      <c r="J19" s="8"/>
    </row>
    <row r="20" spans="1:10" x14ac:dyDescent="0.25">
      <c r="A20" s="8">
        <v>16</v>
      </c>
      <c r="B20" s="11"/>
      <c r="C20" s="11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9"/>
      <c r="C21" s="11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9"/>
      <c r="C22" s="11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9"/>
      <c r="C23" s="11"/>
      <c r="D23" s="8"/>
      <c r="E23" s="8"/>
      <c r="F23" s="8"/>
      <c r="G23" s="8"/>
      <c r="H23" s="8"/>
      <c r="I23" s="8"/>
      <c r="J23" s="8"/>
    </row>
  </sheetData>
  <mergeCells count="5">
    <mergeCell ref="A3:A4"/>
    <mergeCell ref="B3:B4"/>
    <mergeCell ref="C3:C4"/>
    <mergeCell ref="D3:D4"/>
    <mergeCell ref="A1:J2"/>
  </mergeCells>
  <phoneticPr fontId="11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B70-8BC3-4B9F-BAC4-18ED059DBCFB}">
  <sheetPr>
    <pageSetUpPr fitToPage="1"/>
  </sheetPr>
  <dimension ref="A1:BD36"/>
  <sheetViews>
    <sheetView workbookViewId="0">
      <pane xSplit="13" ySplit="2" topLeftCell="N3" activePane="bottomRight" state="frozen"/>
      <selection activeCell="W8" sqref="W8"/>
      <selection pane="topRight" activeCell="W8" sqref="W8"/>
      <selection pane="bottomLeft" activeCell="W8" sqref="W8"/>
      <selection pane="bottomRight" activeCell="G25" sqref="G25"/>
    </sheetView>
  </sheetViews>
  <sheetFormatPr defaultColWidth="9" defaultRowHeight="17.399999999999999" x14ac:dyDescent="0.25"/>
  <cols>
    <col min="1" max="1" width="5.69921875" style="3" customWidth="1"/>
    <col min="2" max="2" width="15.5" style="3" customWidth="1"/>
    <col min="3" max="3" width="11.5" style="3" customWidth="1"/>
    <col min="4" max="4" width="12.69921875" style="4" customWidth="1"/>
    <col min="5" max="5" width="9.59765625" style="5" customWidth="1"/>
    <col min="6" max="6" width="9.09765625" style="5" customWidth="1"/>
    <col min="7" max="7" width="7.19921875" style="5" customWidth="1"/>
    <col min="8" max="8" width="7.69921875" style="5" customWidth="1"/>
    <col min="9" max="9" width="11.3984375" style="3" customWidth="1"/>
    <col min="10" max="10" width="7.3984375" style="3" customWidth="1"/>
    <col min="11" max="11" width="8.3984375" style="3" customWidth="1"/>
    <col min="12" max="12" width="9.8984375" style="3" customWidth="1"/>
    <col min="13" max="13" width="9.5" style="45" customWidth="1"/>
    <col min="14" max="19" width="8.5" style="48" customWidth="1"/>
    <col min="20" max="36" width="9.5" style="48" customWidth="1"/>
    <col min="37" max="37" width="13.8984375" style="45" bestFit="1" customWidth="1"/>
    <col min="38" max="38" width="9.5" style="45" hidden="1" customWidth="1"/>
    <col min="39" max="39" width="11.59765625" style="45" hidden="1" customWidth="1"/>
    <col min="40" max="40" width="5.5" style="45" hidden="1" customWidth="1"/>
    <col min="41" max="41" width="9.5" style="45" bestFit="1" customWidth="1"/>
    <col min="42" max="42" width="22.5" style="3" customWidth="1"/>
    <col min="43" max="16384" width="9" style="2"/>
  </cols>
  <sheetData>
    <row r="1" spans="1:45" ht="45" customHeight="1" x14ac:dyDescent="0.25">
      <c r="A1" s="122" t="s">
        <v>127</v>
      </c>
      <c r="B1" s="123"/>
      <c r="C1" s="124"/>
      <c r="D1" s="124"/>
      <c r="E1" s="124"/>
      <c r="F1" s="124"/>
      <c r="G1" s="124"/>
      <c r="H1" s="124"/>
      <c r="I1" s="124"/>
      <c r="J1" s="124"/>
      <c r="K1" s="124"/>
    </row>
    <row r="2" spans="1:45" s="26" customFormat="1" ht="52.2" x14ac:dyDescent="0.25">
      <c r="A2" s="31" t="s">
        <v>78</v>
      </c>
      <c r="B2" s="32" t="s">
        <v>117</v>
      </c>
      <c r="C2" s="31" t="s">
        <v>3</v>
      </c>
      <c r="D2" s="33" t="s">
        <v>88</v>
      </c>
      <c r="E2" s="32" t="s">
        <v>79</v>
      </c>
      <c r="F2" s="32" t="s">
        <v>80</v>
      </c>
      <c r="G2" s="32" t="s">
        <v>81</v>
      </c>
      <c r="H2" s="32" t="s">
        <v>82</v>
      </c>
      <c r="I2" s="34" t="s">
        <v>83</v>
      </c>
      <c r="J2" s="34" t="s">
        <v>84</v>
      </c>
      <c r="K2" s="31" t="s">
        <v>5</v>
      </c>
      <c r="L2" s="43" t="s">
        <v>118</v>
      </c>
      <c r="M2" s="46" t="s">
        <v>119</v>
      </c>
      <c r="N2" s="51">
        <v>45992</v>
      </c>
      <c r="O2" s="51">
        <v>45993</v>
      </c>
      <c r="P2" s="51">
        <v>45994</v>
      </c>
      <c r="Q2" s="51">
        <v>45995</v>
      </c>
      <c r="R2" s="51">
        <v>45996</v>
      </c>
      <c r="S2" s="51">
        <v>45999</v>
      </c>
      <c r="T2" s="51">
        <v>46000</v>
      </c>
      <c r="U2" s="51">
        <v>46001</v>
      </c>
      <c r="V2" s="51">
        <v>46002</v>
      </c>
      <c r="W2" s="51">
        <v>46003</v>
      </c>
      <c r="X2" s="51">
        <v>46006</v>
      </c>
      <c r="Y2" s="51">
        <v>46007</v>
      </c>
      <c r="Z2" s="51">
        <v>46008</v>
      </c>
      <c r="AA2" s="51">
        <v>46009</v>
      </c>
      <c r="AB2" s="51">
        <v>46010</v>
      </c>
      <c r="AC2" s="51">
        <v>46013</v>
      </c>
      <c r="AD2" s="51">
        <v>46014</v>
      </c>
      <c r="AE2" s="51">
        <v>46015</v>
      </c>
      <c r="AF2" s="51">
        <v>46016</v>
      </c>
      <c r="AG2" s="51">
        <v>46017</v>
      </c>
      <c r="AH2" s="51">
        <v>46020</v>
      </c>
      <c r="AI2" s="51">
        <v>46021</v>
      </c>
      <c r="AJ2" s="51">
        <v>46022</v>
      </c>
      <c r="AK2" s="46" t="s">
        <v>125</v>
      </c>
      <c r="AL2" s="46" t="s">
        <v>112</v>
      </c>
      <c r="AM2" s="46" t="s">
        <v>120</v>
      </c>
      <c r="AN2" s="46" t="s">
        <v>124</v>
      </c>
      <c r="AO2" s="46" t="s">
        <v>126</v>
      </c>
      <c r="AP2" s="44" t="s">
        <v>105</v>
      </c>
    </row>
    <row r="3" spans="1:45" s="26" customFormat="1" ht="20.100000000000001" customHeight="1" x14ac:dyDescent="0.25">
      <c r="A3" s="35">
        <v>1</v>
      </c>
      <c r="B3" s="125" t="s">
        <v>110</v>
      </c>
      <c r="C3" s="36" t="s">
        <v>85</v>
      </c>
      <c r="D3" s="37" t="s">
        <v>89</v>
      </c>
      <c r="E3" s="36">
        <v>7.85</v>
      </c>
      <c r="F3" s="35">
        <v>2.5</v>
      </c>
      <c r="G3" s="35">
        <v>1510</v>
      </c>
      <c r="H3" s="35">
        <v>3000</v>
      </c>
      <c r="I3" s="35" t="s">
        <v>122</v>
      </c>
      <c r="J3" s="38">
        <f t="shared" ref="J3:J22" si="0">F3/1000*G3/1000*H3/1000*E3*1000</f>
        <v>88.901250000000005</v>
      </c>
      <c r="K3" s="38" t="s">
        <v>9</v>
      </c>
      <c r="L3" s="44">
        <v>4000</v>
      </c>
      <c r="M3" s="47">
        <f>L3+200</f>
        <v>4200</v>
      </c>
      <c r="N3" s="8">
        <v>3480</v>
      </c>
      <c r="O3" s="8">
        <v>3480</v>
      </c>
      <c r="P3" s="8">
        <v>3480</v>
      </c>
      <c r="Q3" s="8">
        <v>3470</v>
      </c>
      <c r="R3" s="8">
        <v>3480</v>
      </c>
      <c r="S3" s="8">
        <v>3460</v>
      </c>
      <c r="T3" s="8">
        <v>3430</v>
      </c>
      <c r="U3" s="8">
        <v>3440</v>
      </c>
      <c r="V3" s="8">
        <v>3450</v>
      </c>
      <c r="W3" s="8">
        <v>3430</v>
      </c>
      <c r="X3" s="8">
        <v>3430</v>
      </c>
      <c r="Y3" s="8">
        <v>3420</v>
      </c>
      <c r="Z3" s="8">
        <v>3440</v>
      </c>
      <c r="AA3" s="8">
        <v>3450</v>
      </c>
      <c r="AB3" s="8">
        <v>3450</v>
      </c>
      <c r="AC3" s="8">
        <v>3460</v>
      </c>
      <c r="AD3" s="8">
        <v>3450</v>
      </c>
      <c r="AE3" s="8">
        <v>3450</v>
      </c>
      <c r="AF3" s="8">
        <v>3450</v>
      </c>
      <c r="AG3" s="8">
        <v>3440</v>
      </c>
      <c r="AH3" s="8">
        <v>3460</v>
      </c>
      <c r="AI3" s="8">
        <v>3460</v>
      </c>
      <c r="AJ3" s="8">
        <v>3450</v>
      </c>
      <c r="AK3" s="47">
        <f>ROUND(AVERAGE(N3:AJ3),0)</f>
        <v>3453</v>
      </c>
      <c r="AL3" s="47">
        <f t="shared" ref="AL3:AL14" si="1">M3</f>
        <v>4200</v>
      </c>
      <c r="AM3" s="47">
        <v>4230</v>
      </c>
      <c r="AN3" s="47"/>
      <c r="AO3" s="47">
        <f>AK3+AN3+250</f>
        <v>3703</v>
      </c>
      <c r="AP3" s="44"/>
    </row>
    <row r="4" spans="1:45" s="26" customFormat="1" ht="20.100000000000001" customHeight="1" x14ac:dyDescent="0.25">
      <c r="A4" s="35">
        <v>2</v>
      </c>
      <c r="B4" s="126"/>
      <c r="C4" s="36" t="s">
        <v>85</v>
      </c>
      <c r="D4" s="37" t="s">
        <v>97</v>
      </c>
      <c r="E4" s="36">
        <v>7.85</v>
      </c>
      <c r="F4" s="35">
        <v>3</v>
      </c>
      <c r="G4" s="35">
        <v>1500</v>
      </c>
      <c r="H4" s="35">
        <v>3000</v>
      </c>
      <c r="I4" s="35" t="s">
        <v>122</v>
      </c>
      <c r="J4" s="38">
        <f t="shared" si="0"/>
        <v>105.97499999999998</v>
      </c>
      <c r="K4" s="38" t="s">
        <v>9</v>
      </c>
      <c r="L4" s="44">
        <v>3940</v>
      </c>
      <c r="M4" s="47">
        <f>L4+200</f>
        <v>4140</v>
      </c>
      <c r="N4" s="8">
        <v>3460</v>
      </c>
      <c r="O4" s="8">
        <v>3460</v>
      </c>
      <c r="P4" s="8">
        <v>3460</v>
      </c>
      <c r="Q4" s="8">
        <v>3450</v>
      </c>
      <c r="R4" s="8">
        <v>3460</v>
      </c>
      <c r="S4" s="8">
        <v>3440</v>
      </c>
      <c r="T4" s="8">
        <v>3410</v>
      </c>
      <c r="U4" s="8">
        <v>3420</v>
      </c>
      <c r="V4" s="8">
        <v>3430</v>
      </c>
      <c r="W4" s="8">
        <v>3410</v>
      </c>
      <c r="X4" s="8">
        <v>3410</v>
      </c>
      <c r="Y4" s="8">
        <v>3400</v>
      </c>
      <c r="Z4" s="8">
        <v>3420</v>
      </c>
      <c r="AA4" s="8">
        <v>3430</v>
      </c>
      <c r="AB4" s="8">
        <v>3430</v>
      </c>
      <c r="AC4" s="8">
        <v>3440</v>
      </c>
      <c r="AD4" s="8">
        <v>3430</v>
      </c>
      <c r="AE4" s="8">
        <v>3430</v>
      </c>
      <c r="AF4" s="8">
        <v>3430</v>
      </c>
      <c r="AG4" s="8">
        <v>3420</v>
      </c>
      <c r="AH4" s="8">
        <v>3440</v>
      </c>
      <c r="AI4" s="8">
        <v>3440</v>
      </c>
      <c r="AJ4" s="8">
        <v>3430</v>
      </c>
      <c r="AK4" s="47">
        <f t="shared" ref="AK4:AK22" si="2">ROUND(AVERAGE(N4:AJ4),0)</f>
        <v>3433</v>
      </c>
      <c r="AL4" s="47">
        <f t="shared" si="1"/>
        <v>4140</v>
      </c>
      <c r="AM4" s="47">
        <v>4180</v>
      </c>
      <c r="AN4" s="47"/>
      <c r="AO4" s="47">
        <f t="shared" ref="AO4:AO22" si="3">AK4+AN4+250</f>
        <v>3683</v>
      </c>
      <c r="AP4" s="44"/>
    </row>
    <row r="5" spans="1:45" s="26" customFormat="1" ht="20.100000000000001" customHeight="1" x14ac:dyDescent="0.25">
      <c r="A5" s="35">
        <v>3</v>
      </c>
      <c r="B5" s="126"/>
      <c r="C5" s="36" t="s">
        <v>85</v>
      </c>
      <c r="D5" s="37" t="s">
        <v>90</v>
      </c>
      <c r="E5" s="36">
        <v>7.85</v>
      </c>
      <c r="F5" s="35">
        <v>4</v>
      </c>
      <c r="G5" s="35">
        <v>1510</v>
      </c>
      <c r="H5" s="35">
        <v>3000</v>
      </c>
      <c r="I5" s="35" t="s">
        <v>122</v>
      </c>
      <c r="J5" s="38">
        <f t="shared" si="0"/>
        <v>142.24200000000002</v>
      </c>
      <c r="K5" s="38" t="s">
        <v>9</v>
      </c>
      <c r="L5" s="44">
        <v>3930</v>
      </c>
      <c r="M5" s="47">
        <f t="shared" ref="M5:M22" si="4">L5+200</f>
        <v>4130</v>
      </c>
      <c r="N5" s="8">
        <v>3380</v>
      </c>
      <c r="O5" s="8">
        <v>3380</v>
      </c>
      <c r="P5" s="8">
        <v>3380</v>
      </c>
      <c r="Q5" s="8">
        <v>3370</v>
      </c>
      <c r="R5" s="8">
        <v>3380</v>
      </c>
      <c r="S5" s="8">
        <v>3360</v>
      </c>
      <c r="T5" s="8">
        <v>3330</v>
      </c>
      <c r="U5" s="8">
        <v>3340</v>
      </c>
      <c r="V5" s="8">
        <v>3350</v>
      </c>
      <c r="W5" s="8">
        <v>3330</v>
      </c>
      <c r="X5" s="8">
        <v>3330</v>
      </c>
      <c r="Y5" s="8">
        <v>3320</v>
      </c>
      <c r="Z5" s="8">
        <v>3340</v>
      </c>
      <c r="AA5" s="8">
        <v>3350</v>
      </c>
      <c r="AB5" s="8">
        <v>3350</v>
      </c>
      <c r="AC5" s="8">
        <v>3360</v>
      </c>
      <c r="AD5" s="8">
        <v>3350</v>
      </c>
      <c r="AE5" s="8">
        <v>3350</v>
      </c>
      <c r="AF5" s="8">
        <v>3350</v>
      </c>
      <c r="AG5" s="8">
        <v>3340</v>
      </c>
      <c r="AH5" s="8">
        <v>3360</v>
      </c>
      <c r="AI5" s="8">
        <v>3360</v>
      </c>
      <c r="AJ5" s="8">
        <v>3350</v>
      </c>
      <c r="AK5" s="47">
        <f t="shared" si="2"/>
        <v>3353</v>
      </c>
      <c r="AL5" s="47">
        <f t="shared" si="1"/>
        <v>4130</v>
      </c>
      <c r="AM5" s="47">
        <v>4160</v>
      </c>
      <c r="AN5" s="47"/>
      <c r="AO5" s="47">
        <f t="shared" si="3"/>
        <v>3603</v>
      </c>
      <c r="AP5" s="44"/>
    </row>
    <row r="6" spans="1:45" s="26" customFormat="1" ht="20.100000000000001" customHeight="1" x14ac:dyDescent="0.25">
      <c r="A6" s="35">
        <v>4</v>
      </c>
      <c r="B6" s="126"/>
      <c r="C6" s="36" t="s">
        <v>85</v>
      </c>
      <c r="D6" s="37" t="s">
        <v>91</v>
      </c>
      <c r="E6" s="36">
        <v>7.85</v>
      </c>
      <c r="F6" s="35">
        <v>4.75</v>
      </c>
      <c r="G6" s="35">
        <v>1510</v>
      </c>
      <c r="H6" s="35">
        <v>3000</v>
      </c>
      <c r="I6" s="35" t="s">
        <v>122</v>
      </c>
      <c r="J6" s="38">
        <f t="shared" si="0"/>
        <v>168.91237499999997</v>
      </c>
      <c r="K6" s="38" t="s">
        <v>9</v>
      </c>
      <c r="L6" s="44">
        <v>3860</v>
      </c>
      <c r="M6" s="47">
        <f t="shared" si="4"/>
        <v>4060</v>
      </c>
      <c r="N6" s="49">
        <v>3340</v>
      </c>
      <c r="O6" s="49">
        <v>3340</v>
      </c>
      <c r="P6" s="49">
        <v>3340</v>
      </c>
      <c r="Q6" s="49">
        <v>3330</v>
      </c>
      <c r="R6" s="49">
        <v>3340</v>
      </c>
      <c r="S6" s="49">
        <v>3320</v>
      </c>
      <c r="T6" s="49">
        <v>3290</v>
      </c>
      <c r="U6" s="49">
        <v>3300</v>
      </c>
      <c r="V6" s="49">
        <v>3310</v>
      </c>
      <c r="W6" s="49">
        <v>3290</v>
      </c>
      <c r="X6" s="49">
        <v>3290</v>
      </c>
      <c r="Y6" s="49">
        <v>3280</v>
      </c>
      <c r="Z6" s="49">
        <v>3300</v>
      </c>
      <c r="AA6" s="49">
        <v>3310</v>
      </c>
      <c r="AB6" s="49">
        <v>3310</v>
      </c>
      <c r="AC6" s="49">
        <v>3320</v>
      </c>
      <c r="AD6" s="49">
        <v>3310</v>
      </c>
      <c r="AE6" s="49">
        <v>3310</v>
      </c>
      <c r="AF6" s="49">
        <v>3310</v>
      </c>
      <c r="AG6" s="49">
        <v>3300</v>
      </c>
      <c r="AH6" s="49">
        <v>3320</v>
      </c>
      <c r="AI6" s="49">
        <v>3320</v>
      </c>
      <c r="AJ6" s="49">
        <v>3310</v>
      </c>
      <c r="AK6" s="47">
        <f t="shared" si="2"/>
        <v>3313</v>
      </c>
      <c r="AL6" s="47">
        <f t="shared" si="1"/>
        <v>4060</v>
      </c>
      <c r="AM6" s="47">
        <v>4090</v>
      </c>
      <c r="AN6" s="47"/>
      <c r="AO6" s="47">
        <f>AK6+AN6+250</f>
        <v>3563</v>
      </c>
      <c r="AP6" s="44"/>
    </row>
    <row r="7" spans="1:45" s="26" customFormat="1" ht="20.100000000000001" customHeight="1" x14ac:dyDescent="0.25">
      <c r="A7" s="35">
        <v>5</v>
      </c>
      <c r="B7" s="126"/>
      <c r="C7" s="36" t="s">
        <v>85</v>
      </c>
      <c r="D7" s="37" t="s">
        <v>92</v>
      </c>
      <c r="E7" s="36">
        <v>7.85</v>
      </c>
      <c r="F7" s="35">
        <v>5.75</v>
      </c>
      <c r="G7" s="35">
        <v>1510</v>
      </c>
      <c r="H7" s="35">
        <v>3000</v>
      </c>
      <c r="I7" s="35" t="s">
        <v>122</v>
      </c>
      <c r="J7" s="38">
        <f t="shared" si="0"/>
        <v>204.47287499999996</v>
      </c>
      <c r="K7" s="38" t="s">
        <v>9</v>
      </c>
      <c r="L7" s="44">
        <v>3860</v>
      </c>
      <c r="M7" s="47">
        <f t="shared" si="4"/>
        <v>4060</v>
      </c>
      <c r="N7" s="49">
        <f>N6</f>
        <v>3340</v>
      </c>
      <c r="O7" s="49">
        <f t="shared" ref="O7:AJ7" si="5">O6</f>
        <v>3340</v>
      </c>
      <c r="P7" s="49">
        <f t="shared" si="5"/>
        <v>3340</v>
      </c>
      <c r="Q7" s="49">
        <f t="shared" si="5"/>
        <v>3330</v>
      </c>
      <c r="R7" s="49">
        <f t="shared" si="5"/>
        <v>3340</v>
      </c>
      <c r="S7" s="49">
        <f t="shared" si="5"/>
        <v>3320</v>
      </c>
      <c r="T7" s="49">
        <f t="shared" si="5"/>
        <v>3290</v>
      </c>
      <c r="U7" s="49">
        <f t="shared" si="5"/>
        <v>3300</v>
      </c>
      <c r="V7" s="49">
        <f t="shared" si="5"/>
        <v>3310</v>
      </c>
      <c r="W7" s="49">
        <f t="shared" si="5"/>
        <v>3290</v>
      </c>
      <c r="X7" s="49">
        <f t="shared" si="5"/>
        <v>3290</v>
      </c>
      <c r="Y7" s="49">
        <f t="shared" si="5"/>
        <v>3280</v>
      </c>
      <c r="Z7" s="49">
        <f t="shared" si="5"/>
        <v>3300</v>
      </c>
      <c r="AA7" s="49">
        <f t="shared" si="5"/>
        <v>3310</v>
      </c>
      <c r="AB7" s="49">
        <f t="shared" si="5"/>
        <v>3310</v>
      </c>
      <c r="AC7" s="49">
        <f t="shared" si="5"/>
        <v>3320</v>
      </c>
      <c r="AD7" s="49">
        <f t="shared" si="5"/>
        <v>3310</v>
      </c>
      <c r="AE7" s="49">
        <f t="shared" si="5"/>
        <v>3310</v>
      </c>
      <c r="AF7" s="49">
        <f t="shared" si="5"/>
        <v>3310</v>
      </c>
      <c r="AG7" s="49">
        <f t="shared" si="5"/>
        <v>3300</v>
      </c>
      <c r="AH7" s="49">
        <f t="shared" si="5"/>
        <v>3320</v>
      </c>
      <c r="AI7" s="49">
        <f t="shared" si="5"/>
        <v>3320</v>
      </c>
      <c r="AJ7" s="49">
        <f t="shared" si="5"/>
        <v>3310</v>
      </c>
      <c r="AK7" s="47">
        <f t="shared" si="2"/>
        <v>3313</v>
      </c>
      <c r="AL7" s="47">
        <f t="shared" si="1"/>
        <v>4060</v>
      </c>
      <c r="AM7" s="47">
        <v>4090</v>
      </c>
      <c r="AN7" s="47"/>
      <c r="AO7" s="47">
        <f t="shared" si="3"/>
        <v>3563</v>
      </c>
      <c r="AP7" s="44"/>
    </row>
    <row r="8" spans="1:45" s="26" customFormat="1" ht="20.100000000000001" customHeight="1" x14ac:dyDescent="0.25">
      <c r="A8" s="35">
        <v>6</v>
      </c>
      <c r="B8" s="126"/>
      <c r="C8" s="36" t="s">
        <v>85</v>
      </c>
      <c r="D8" s="37" t="s">
        <v>93</v>
      </c>
      <c r="E8" s="36">
        <v>7.85</v>
      </c>
      <c r="F8" s="35">
        <v>7.75</v>
      </c>
      <c r="G8" s="35">
        <v>1510</v>
      </c>
      <c r="H8" s="35">
        <v>3000</v>
      </c>
      <c r="I8" s="35" t="s">
        <v>122</v>
      </c>
      <c r="J8" s="38">
        <f t="shared" si="0"/>
        <v>275.59387499999997</v>
      </c>
      <c r="K8" s="38" t="s">
        <v>9</v>
      </c>
      <c r="L8" s="44">
        <v>3860</v>
      </c>
      <c r="M8" s="47">
        <f t="shared" si="4"/>
        <v>4060</v>
      </c>
      <c r="N8" s="49">
        <f>N6</f>
        <v>3340</v>
      </c>
      <c r="O8" s="49">
        <f t="shared" ref="O8:AJ8" si="6">O6</f>
        <v>3340</v>
      </c>
      <c r="P8" s="49">
        <f t="shared" si="6"/>
        <v>3340</v>
      </c>
      <c r="Q8" s="49">
        <f t="shared" si="6"/>
        <v>3330</v>
      </c>
      <c r="R8" s="49">
        <f t="shared" si="6"/>
        <v>3340</v>
      </c>
      <c r="S8" s="49">
        <f t="shared" si="6"/>
        <v>3320</v>
      </c>
      <c r="T8" s="49">
        <f t="shared" si="6"/>
        <v>3290</v>
      </c>
      <c r="U8" s="49">
        <f t="shared" si="6"/>
        <v>3300</v>
      </c>
      <c r="V8" s="49">
        <f t="shared" si="6"/>
        <v>3310</v>
      </c>
      <c r="W8" s="49">
        <f t="shared" si="6"/>
        <v>3290</v>
      </c>
      <c r="X8" s="49">
        <f t="shared" si="6"/>
        <v>3290</v>
      </c>
      <c r="Y8" s="49">
        <f t="shared" si="6"/>
        <v>3280</v>
      </c>
      <c r="Z8" s="49">
        <f t="shared" si="6"/>
        <v>3300</v>
      </c>
      <c r="AA8" s="49">
        <f t="shared" si="6"/>
        <v>3310</v>
      </c>
      <c r="AB8" s="49">
        <f t="shared" si="6"/>
        <v>3310</v>
      </c>
      <c r="AC8" s="49">
        <f t="shared" si="6"/>
        <v>3320</v>
      </c>
      <c r="AD8" s="49">
        <f t="shared" si="6"/>
        <v>3310</v>
      </c>
      <c r="AE8" s="49">
        <f t="shared" si="6"/>
        <v>3310</v>
      </c>
      <c r="AF8" s="49">
        <f t="shared" si="6"/>
        <v>3310</v>
      </c>
      <c r="AG8" s="49">
        <f t="shared" si="6"/>
        <v>3300</v>
      </c>
      <c r="AH8" s="49">
        <f t="shared" si="6"/>
        <v>3320</v>
      </c>
      <c r="AI8" s="49">
        <f t="shared" si="6"/>
        <v>3320</v>
      </c>
      <c r="AJ8" s="49">
        <f t="shared" si="6"/>
        <v>3310</v>
      </c>
      <c r="AK8" s="47">
        <f t="shared" si="2"/>
        <v>3313</v>
      </c>
      <c r="AL8" s="47">
        <f t="shared" si="1"/>
        <v>4060</v>
      </c>
      <c r="AM8" s="47">
        <v>4090</v>
      </c>
      <c r="AN8" s="47"/>
      <c r="AO8" s="47">
        <f t="shared" si="3"/>
        <v>3563</v>
      </c>
      <c r="AP8" s="44"/>
    </row>
    <row r="9" spans="1:45" s="26" customFormat="1" ht="20.100000000000001" customHeight="1" x14ac:dyDescent="0.25">
      <c r="A9" s="35">
        <v>7</v>
      </c>
      <c r="B9" s="126"/>
      <c r="C9" s="36" t="s">
        <v>85</v>
      </c>
      <c r="D9" s="37" t="s">
        <v>94</v>
      </c>
      <c r="E9" s="36">
        <v>7.85</v>
      </c>
      <c r="F9" s="35">
        <v>9.75</v>
      </c>
      <c r="G9" s="35">
        <v>1510</v>
      </c>
      <c r="H9" s="35">
        <v>3000</v>
      </c>
      <c r="I9" s="35" t="s">
        <v>122</v>
      </c>
      <c r="J9" s="38">
        <f t="shared" si="0"/>
        <v>346.71487500000001</v>
      </c>
      <c r="K9" s="38" t="s">
        <v>9</v>
      </c>
      <c r="L9" s="44">
        <v>3860</v>
      </c>
      <c r="M9" s="47">
        <f t="shared" si="4"/>
        <v>4060</v>
      </c>
      <c r="N9" s="49">
        <f>N6</f>
        <v>3340</v>
      </c>
      <c r="O9" s="49">
        <f t="shared" ref="O9:AJ9" si="7">O6</f>
        <v>3340</v>
      </c>
      <c r="P9" s="49">
        <f t="shared" si="7"/>
        <v>3340</v>
      </c>
      <c r="Q9" s="49">
        <f t="shared" si="7"/>
        <v>3330</v>
      </c>
      <c r="R9" s="49">
        <f t="shared" si="7"/>
        <v>3340</v>
      </c>
      <c r="S9" s="49">
        <f t="shared" si="7"/>
        <v>3320</v>
      </c>
      <c r="T9" s="49">
        <f t="shared" si="7"/>
        <v>3290</v>
      </c>
      <c r="U9" s="49">
        <f t="shared" si="7"/>
        <v>3300</v>
      </c>
      <c r="V9" s="49">
        <f t="shared" si="7"/>
        <v>3310</v>
      </c>
      <c r="W9" s="49">
        <f t="shared" si="7"/>
        <v>3290</v>
      </c>
      <c r="X9" s="49">
        <f t="shared" si="7"/>
        <v>3290</v>
      </c>
      <c r="Y9" s="49">
        <f t="shared" si="7"/>
        <v>3280</v>
      </c>
      <c r="Z9" s="49">
        <f t="shared" si="7"/>
        <v>3300</v>
      </c>
      <c r="AA9" s="49">
        <f t="shared" si="7"/>
        <v>3310</v>
      </c>
      <c r="AB9" s="49">
        <f t="shared" si="7"/>
        <v>3310</v>
      </c>
      <c r="AC9" s="49">
        <f t="shared" si="7"/>
        <v>3320</v>
      </c>
      <c r="AD9" s="49">
        <f t="shared" si="7"/>
        <v>3310</v>
      </c>
      <c r="AE9" s="49">
        <f t="shared" si="7"/>
        <v>3310</v>
      </c>
      <c r="AF9" s="49">
        <f t="shared" si="7"/>
        <v>3310</v>
      </c>
      <c r="AG9" s="49">
        <f t="shared" si="7"/>
        <v>3300</v>
      </c>
      <c r="AH9" s="49">
        <f t="shared" si="7"/>
        <v>3320</v>
      </c>
      <c r="AI9" s="49">
        <f t="shared" si="7"/>
        <v>3320</v>
      </c>
      <c r="AJ9" s="49">
        <f t="shared" si="7"/>
        <v>3310</v>
      </c>
      <c r="AK9" s="47">
        <f t="shared" si="2"/>
        <v>3313</v>
      </c>
      <c r="AL9" s="47">
        <f t="shared" si="1"/>
        <v>4060</v>
      </c>
      <c r="AM9" s="47">
        <v>4090</v>
      </c>
      <c r="AN9" s="47"/>
      <c r="AO9" s="47">
        <f t="shared" si="3"/>
        <v>3563</v>
      </c>
      <c r="AP9" s="44"/>
    </row>
    <row r="10" spans="1:45" s="26" customFormat="1" ht="20.100000000000001" customHeight="1" x14ac:dyDescent="0.25">
      <c r="A10" s="35">
        <v>8</v>
      </c>
      <c r="B10" s="126"/>
      <c r="C10" s="36" t="s">
        <v>109</v>
      </c>
      <c r="D10" s="37"/>
      <c r="E10" s="36">
        <v>7.85</v>
      </c>
      <c r="F10" s="36">
        <v>11.75</v>
      </c>
      <c r="G10" s="36">
        <v>1510</v>
      </c>
      <c r="H10" s="36">
        <v>3000</v>
      </c>
      <c r="I10" s="35" t="s">
        <v>122</v>
      </c>
      <c r="J10" s="38">
        <f t="shared" si="0"/>
        <v>417.83587500000004</v>
      </c>
      <c r="K10" s="38" t="s">
        <v>9</v>
      </c>
      <c r="L10" s="44">
        <v>3860</v>
      </c>
      <c r="M10" s="47">
        <f t="shared" si="4"/>
        <v>4060</v>
      </c>
      <c r="N10" s="49">
        <f>N6</f>
        <v>3340</v>
      </c>
      <c r="O10" s="49">
        <f t="shared" ref="O10:AJ10" si="8">O6</f>
        <v>3340</v>
      </c>
      <c r="P10" s="49">
        <f t="shared" si="8"/>
        <v>3340</v>
      </c>
      <c r="Q10" s="49">
        <f t="shared" si="8"/>
        <v>3330</v>
      </c>
      <c r="R10" s="49">
        <f t="shared" si="8"/>
        <v>3340</v>
      </c>
      <c r="S10" s="49">
        <f t="shared" si="8"/>
        <v>3320</v>
      </c>
      <c r="T10" s="49">
        <f t="shared" si="8"/>
        <v>3290</v>
      </c>
      <c r="U10" s="49">
        <f t="shared" si="8"/>
        <v>3300</v>
      </c>
      <c r="V10" s="49">
        <f t="shared" si="8"/>
        <v>3310</v>
      </c>
      <c r="W10" s="49">
        <f t="shared" si="8"/>
        <v>3290</v>
      </c>
      <c r="X10" s="49">
        <f t="shared" si="8"/>
        <v>3290</v>
      </c>
      <c r="Y10" s="49">
        <f t="shared" si="8"/>
        <v>3280</v>
      </c>
      <c r="Z10" s="49">
        <f t="shared" si="8"/>
        <v>3300</v>
      </c>
      <c r="AA10" s="49">
        <f t="shared" si="8"/>
        <v>3310</v>
      </c>
      <c r="AB10" s="49">
        <f t="shared" si="8"/>
        <v>3310</v>
      </c>
      <c r="AC10" s="49">
        <f t="shared" si="8"/>
        <v>3320</v>
      </c>
      <c r="AD10" s="49">
        <f t="shared" si="8"/>
        <v>3310</v>
      </c>
      <c r="AE10" s="49">
        <f t="shared" si="8"/>
        <v>3310</v>
      </c>
      <c r="AF10" s="49">
        <f t="shared" si="8"/>
        <v>3310</v>
      </c>
      <c r="AG10" s="49">
        <f t="shared" si="8"/>
        <v>3300</v>
      </c>
      <c r="AH10" s="49">
        <f t="shared" si="8"/>
        <v>3320</v>
      </c>
      <c r="AI10" s="49">
        <f t="shared" si="8"/>
        <v>3320</v>
      </c>
      <c r="AJ10" s="49">
        <f t="shared" si="8"/>
        <v>3310</v>
      </c>
      <c r="AK10" s="47">
        <f t="shared" si="2"/>
        <v>3313</v>
      </c>
      <c r="AL10" s="47">
        <f t="shared" si="1"/>
        <v>4060</v>
      </c>
      <c r="AM10" s="47">
        <v>4090</v>
      </c>
      <c r="AN10" s="47"/>
      <c r="AO10" s="47">
        <f t="shared" si="3"/>
        <v>3563</v>
      </c>
      <c r="AP10" s="44"/>
    </row>
    <row r="11" spans="1:45" s="1" customFormat="1" ht="20.100000000000001" customHeight="1" x14ac:dyDescent="0.25">
      <c r="A11" s="39">
        <v>9</v>
      </c>
      <c r="B11" s="127" t="s">
        <v>111</v>
      </c>
      <c r="C11" s="40" t="s">
        <v>107</v>
      </c>
      <c r="D11" s="41" t="s">
        <v>95</v>
      </c>
      <c r="E11" s="40">
        <v>7.85</v>
      </c>
      <c r="F11" s="40">
        <v>1</v>
      </c>
      <c r="G11" s="40">
        <v>1250</v>
      </c>
      <c r="H11" s="40">
        <v>2500</v>
      </c>
      <c r="I11" s="39" t="s">
        <v>123</v>
      </c>
      <c r="J11" s="42">
        <f t="shared" si="0"/>
        <v>24.53125</v>
      </c>
      <c r="K11" s="42" t="s">
        <v>9</v>
      </c>
      <c r="L11" s="44">
        <v>4430</v>
      </c>
      <c r="M11" s="47">
        <f t="shared" si="4"/>
        <v>4630</v>
      </c>
      <c r="N11" s="8">
        <v>3980</v>
      </c>
      <c r="O11" s="8">
        <v>3980</v>
      </c>
      <c r="P11" s="8">
        <v>3980</v>
      </c>
      <c r="Q11" s="8">
        <v>3980</v>
      </c>
      <c r="R11" s="8">
        <v>3980</v>
      </c>
      <c r="S11" s="8">
        <v>3980</v>
      </c>
      <c r="T11" s="8">
        <v>3980</v>
      </c>
      <c r="U11" s="8">
        <v>3980</v>
      </c>
      <c r="V11" s="8">
        <v>3980</v>
      </c>
      <c r="W11" s="8">
        <v>3980</v>
      </c>
      <c r="X11" s="8">
        <v>3980</v>
      </c>
      <c r="Y11" s="8">
        <v>3980</v>
      </c>
      <c r="Z11" s="8">
        <v>3980</v>
      </c>
      <c r="AA11" s="8">
        <v>3980</v>
      </c>
      <c r="AB11" s="8">
        <v>3980</v>
      </c>
      <c r="AC11" s="8">
        <v>3980</v>
      </c>
      <c r="AD11" s="8">
        <v>3980</v>
      </c>
      <c r="AE11" s="8">
        <v>3980</v>
      </c>
      <c r="AF11" s="8">
        <v>3980</v>
      </c>
      <c r="AG11" s="8">
        <v>3980</v>
      </c>
      <c r="AH11" s="8">
        <v>3980</v>
      </c>
      <c r="AI11" s="8">
        <v>3980</v>
      </c>
      <c r="AJ11" s="8">
        <v>3950</v>
      </c>
      <c r="AK11" s="47">
        <f t="shared" si="2"/>
        <v>3979</v>
      </c>
      <c r="AL11" s="47">
        <f t="shared" si="1"/>
        <v>4630</v>
      </c>
      <c r="AM11" s="47">
        <v>4450</v>
      </c>
      <c r="AN11" s="47">
        <v>200</v>
      </c>
      <c r="AO11" s="47">
        <f t="shared" si="3"/>
        <v>4429</v>
      </c>
      <c r="AP11" s="44"/>
      <c r="AS11" s="26"/>
    </row>
    <row r="12" spans="1:45" s="1" customFormat="1" ht="20.100000000000001" customHeight="1" x14ac:dyDescent="0.25">
      <c r="A12" s="39">
        <v>10</v>
      </c>
      <c r="B12" s="128"/>
      <c r="C12" s="40" t="s">
        <v>107</v>
      </c>
      <c r="D12" s="41"/>
      <c r="E12" s="40">
        <v>7.85</v>
      </c>
      <c r="F12" s="39">
        <v>1.5</v>
      </c>
      <c r="G12" s="39">
        <v>1250</v>
      </c>
      <c r="H12" s="39">
        <v>2500</v>
      </c>
      <c r="I12" s="39" t="s">
        <v>123</v>
      </c>
      <c r="J12" s="42">
        <f t="shared" si="0"/>
        <v>36.796875</v>
      </c>
      <c r="K12" s="42" t="s">
        <v>9</v>
      </c>
      <c r="L12" s="44">
        <v>4380</v>
      </c>
      <c r="M12" s="47">
        <f t="shared" si="4"/>
        <v>4580</v>
      </c>
      <c r="N12" s="8">
        <v>3930</v>
      </c>
      <c r="O12" s="8">
        <v>3930</v>
      </c>
      <c r="P12" s="8">
        <v>3930</v>
      </c>
      <c r="Q12" s="8">
        <v>3930</v>
      </c>
      <c r="R12" s="8">
        <v>3930</v>
      </c>
      <c r="S12" s="8">
        <v>3930</v>
      </c>
      <c r="T12" s="8">
        <v>3930</v>
      </c>
      <c r="U12" s="8">
        <v>3930</v>
      </c>
      <c r="V12" s="8">
        <v>3930</v>
      </c>
      <c r="W12" s="8">
        <v>3930</v>
      </c>
      <c r="X12" s="8">
        <v>3930</v>
      </c>
      <c r="Y12" s="8">
        <v>3930</v>
      </c>
      <c r="Z12" s="8">
        <v>3930</v>
      </c>
      <c r="AA12" s="8">
        <v>3930</v>
      </c>
      <c r="AB12" s="8">
        <v>3930</v>
      </c>
      <c r="AC12" s="8">
        <v>3930</v>
      </c>
      <c r="AD12" s="8">
        <v>3930</v>
      </c>
      <c r="AE12" s="8">
        <v>3930</v>
      </c>
      <c r="AF12" s="8">
        <v>3930</v>
      </c>
      <c r="AG12" s="8">
        <v>3930</v>
      </c>
      <c r="AH12" s="8">
        <v>3930</v>
      </c>
      <c r="AI12" s="8">
        <v>3930</v>
      </c>
      <c r="AJ12" s="8">
        <v>3900</v>
      </c>
      <c r="AK12" s="47">
        <f t="shared" si="2"/>
        <v>3929</v>
      </c>
      <c r="AL12" s="47">
        <f t="shared" si="1"/>
        <v>4580</v>
      </c>
      <c r="AM12" s="47">
        <v>4400</v>
      </c>
      <c r="AN12" s="47">
        <v>200</v>
      </c>
      <c r="AO12" s="47">
        <f t="shared" si="3"/>
        <v>4379</v>
      </c>
      <c r="AP12" s="44"/>
      <c r="AS12" s="26"/>
    </row>
    <row r="13" spans="1:45" s="1" customFormat="1" ht="18.75" customHeight="1" x14ac:dyDescent="0.25">
      <c r="A13" s="39">
        <v>11</v>
      </c>
      <c r="B13" s="128"/>
      <c r="C13" s="40" t="s">
        <v>107</v>
      </c>
      <c r="D13" s="41" t="s">
        <v>96</v>
      </c>
      <c r="E13" s="40">
        <v>7.85</v>
      </c>
      <c r="F13" s="39">
        <v>2</v>
      </c>
      <c r="G13" s="39">
        <v>1250</v>
      </c>
      <c r="H13" s="39">
        <v>3000</v>
      </c>
      <c r="I13" s="39" t="s">
        <v>113</v>
      </c>
      <c r="J13" s="42">
        <f t="shared" si="0"/>
        <v>58.875</v>
      </c>
      <c r="K13" s="42" t="s">
        <v>9</v>
      </c>
      <c r="L13" s="44">
        <v>4380</v>
      </c>
      <c r="M13" s="47">
        <f>L13+200</f>
        <v>4580</v>
      </c>
      <c r="N13" s="50">
        <f>N12</f>
        <v>3930</v>
      </c>
      <c r="O13" s="50">
        <f t="shared" ref="O13:AJ13" si="9">O12</f>
        <v>3930</v>
      </c>
      <c r="P13" s="50">
        <f t="shared" si="9"/>
        <v>3930</v>
      </c>
      <c r="Q13" s="50">
        <f t="shared" si="9"/>
        <v>3930</v>
      </c>
      <c r="R13" s="50">
        <f t="shared" si="9"/>
        <v>3930</v>
      </c>
      <c r="S13" s="50">
        <f t="shared" si="9"/>
        <v>3930</v>
      </c>
      <c r="T13" s="50">
        <f t="shared" si="9"/>
        <v>3930</v>
      </c>
      <c r="U13" s="50">
        <f t="shared" si="9"/>
        <v>3930</v>
      </c>
      <c r="V13" s="50">
        <f t="shared" si="9"/>
        <v>3930</v>
      </c>
      <c r="W13" s="50">
        <f t="shared" si="9"/>
        <v>3930</v>
      </c>
      <c r="X13" s="50">
        <f t="shared" si="9"/>
        <v>3930</v>
      </c>
      <c r="Y13" s="50">
        <f t="shared" si="9"/>
        <v>3930</v>
      </c>
      <c r="Z13" s="50">
        <f t="shared" si="9"/>
        <v>3930</v>
      </c>
      <c r="AA13" s="50">
        <f t="shared" si="9"/>
        <v>3930</v>
      </c>
      <c r="AB13" s="50">
        <f t="shared" si="9"/>
        <v>3930</v>
      </c>
      <c r="AC13" s="50">
        <f t="shared" si="9"/>
        <v>3930</v>
      </c>
      <c r="AD13" s="50">
        <f t="shared" si="9"/>
        <v>3930</v>
      </c>
      <c r="AE13" s="50">
        <f t="shared" si="9"/>
        <v>3930</v>
      </c>
      <c r="AF13" s="50">
        <f t="shared" si="9"/>
        <v>3930</v>
      </c>
      <c r="AG13" s="50">
        <f t="shared" si="9"/>
        <v>3930</v>
      </c>
      <c r="AH13" s="50">
        <f t="shared" si="9"/>
        <v>3930</v>
      </c>
      <c r="AI13" s="50">
        <f t="shared" si="9"/>
        <v>3930</v>
      </c>
      <c r="AJ13" s="50">
        <f t="shared" si="9"/>
        <v>3900</v>
      </c>
      <c r="AK13" s="47">
        <f t="shared" si="2"/>
        <v>3929</v>
      </c>
      <c r="AL13" s="47">
        <f t="shared" si="1"/>
        <v>4580</v>
      </c>
      <c r="AM13" s="47">
        <v>4400</v>
      </c>
      <c r="AN13" s="47">
        <v>200</v>
      </c>
      <c r="AO13" s="47">
        <f t="shared" si="3"/>
        <v>4379</v>
      </c>
      <c r="AP13" s="44"/>
      <c r="AS13" s="26"/>
    </row>
    <row r="14" spans="1:45" s="1" customFormat="1" ht="18.75" customHeight="1" x14ac:dyDescent="0.25">
      <c r="A14" s="39">
        <v>12</v>
      </c>
      <c r="B14" s="128"/>
      <c r="C14" s="40" t="s">
        <v>107</v>
      </c>
      <c r="D14" s="41" t="s">
        <v>96</v>
      </c>
      <c r="E14" s="40">
        <v>7.85</v>
      </c>
      <c r="F14" s="39">
        <v>2.5</v>
      </c>
      <c r="G14" s="39">
        <v>1250</v>
      </c>
      <c r="H14" s="39">
        <v>3000</v>
      </c>
      <c r="I14" s="39" t="s">
        <v>113</v>
      </c>
      <c r="J14" s="42">
        <f t="shared" si="0"/>
        <v>73.59375</v>
      </c>
      <c r="K14" s="42" t="s">
        <v>9</v>
      </c>
      <c r="L14" s="44">
        <v>4380</v>
      </c>
      <c r="M14" s="47">
        <f t="shared" si="4"/>
        <v>4580</v>
      </c>
      <c r="N14" s="8">
        <v>4160</v>
      </c>
      <c r="O14" s="8">
        <v>4160</v>
      </c>
      <c r="P14" s="8">
        <v>4160</v>
      </c>
      <c r="Q14" s="8">
        <v>4160</v>
      </c>
      <c r="R14" s="8">
        <v>4160</v>
      </c>
      <c r="S14" s="8">
        <v>4160</v>
      </c>
      <c r="T14" s="8">
        <v>4160</v>
      </c>
      <c r="U14" s="8">
        <v>4160</v>
      </c>
      <c r="V14" s="8">
        <v>4160</v>
      </c>
      <c r="W14" s="8">
        <v>4160</v>
      </c>
      <c r="X14" s="8">
        <v>4160</v>
      </c>
      <c r="Y14" s="8">
        <v>4160</v>
      </c>
      <c r="Z14" s="8">
        <v>4160</v>
      </c>
      <c r="AA14" s="8">
        <v>4160</v>
      </c>
      <c r="AB14" s="8">
        <v>4160</v>
      </c>
      <c r="AC14" s="8">
        <v>4160</v>
      </c>
      <c r="AD14" s="8">
        <v>4160</v>
      </c>
      <c r="AE14" s="8">
        <v>4160</v>
      </c>
      <c r="AF14" s="8">
        <v>4160</v>
      </c>
      <c r="AG14" s="8">
        <v>4160</v>
      </c>
      <c r="AH14" s="8">
        <v>4160</v>
      </c>
      <c r="AI14" s="8">
        <v>4160</v>
      </c>
      <c r="AJ14" s="8">
        <v>4130</v>
      </c>
      <c r="AK14" s="47">
        <f t="shared" si="2"/>
        <v>4159</v>
      </c>
      <c r="AL14" s="47">
        <f t="shared" si="1"/>
        <v>4580</v>
      </c>
      <c r="AM14" s="47">
        <v>4400</v>
      </c>
      <c r="AN14" s="47">
        <v>200</v>
      </c>
      <c r="AO14" s="47">
        <f t="shared" si="3"/>
        <v>4609</v>
      </c>
      <c r="AP14" s="44"/>
      <c r="AS14" s="26"/>
    </row>
    <row r="15" spans="1:45" s="26" customFormat="1" ht="18.75" customHeight="1" x14ac:dyDescent="0.25">
      <c r="A15" s="39">
        <v>13</v>
      </c>
      <c r="B15" s="128"/>
      <c r="C15" s="40" t="s">
        <v>107</v>
      </c>
      <c r="D15" s="41"/>
      <c r="E15" s="40">
        <v>7.85</v>
      </c>
      <c r="F15" s="39">
        <v>3</v>
      </c>
      <c r="G15" s="39">
        <v>1250</v>
      </c>
      <c r="H15" s="39">
        <v>3000</v>
      </c>
      <c r="I15" s="39" t="s">
        <v>113</v>
      </c>
      <c r="J15" s="42">
        <f t="shared" si="0"/>
        <v>88.312499999999986</v>
      </c>
      <c r="K15" s="42" t="s">
        <v>9</v>
      </c>
      <c r="L15" s="44"/>
      <c r="M15" s="47"/>
      <c r="N15" s="8">
        <v>4280</v>
      </c>
      <c r="O15" s="8">
        <v>4280</v>
      </c>
      <c r="P15" s="8">
        <v>4280</v>
      </c>
      <c r="Q15" s="8">
        <v>4280</v>
      </c>
      <c r="R15" s="8">
        <v>4280</v>
      </c>
      <c r="S15" s="8">
        <v>4280</v>
      </c>
      <c r="T15" s="8">
        <v>4280</v>
      </c>
      <c r="U15" s="8">
        <v>4280</v>
      </c>
      <c r="V15" s="8">
        <v>4280</v>
      </c>
      <c r="W15" s="8">
        <v>4280</v>
      </c>
      <c r="X15" s="8">
        <v>4280</v>
      </c>
      <c r="Y15" s="8">
        <v>4280</v>
      </c>
      <c r="Z15" s="8">
        <v>4280</v>
      </c>
      <c r="AA15" s="8">
        <v>4280</v>
      </c>
      <c r="AB15" s="8">
        <v>4280</v>
      </c>
      <c r="AC15" s="8">
        <v>4280</v>
      </c>
      <c r="AD15" s="8">
        <v>4280</v>
      </c>
      <c r="AE15" s="8">
        <v>4280</v>
      </c>
      <c r="AF15" s="8">
        <v>4280</v>
      </c>
      <c r="AG15" s="8">
        <v>4280</v>
      </c>
      <c r="AH15" s="8">
        <v>4280</v>
      </c>
      <c r="AI15" s="8">
        <v>4280</v>
      </c>
      <c r="AJ15" s="8">
        <v>4250</v>
      </c>
      <c r="AK15" s="47">
        <f t="shared" si="2"/>
        <v>4279</v>
      </c>
      <c r="AL15" s="47"/>
      <c r="AM15" s="47"/>
      <c r="AN15" s="47">
        <v>200</v>
      </c>
      <c r="AO15" s="47">
        <f t="shared" si="3"/>
        <v>4729</v>
      </c>
      <c r="AP15" s="44"/>
    </row>
    <row r="16" spans="1:45" s="1" customFormat="1" ht="20.100000000000001" customHeight="1" x14ac:dyDescent="0.25">
      <c r="A16" s="27">
        <v>14</v>
      </c>
      <c r="B16" s="129" t="s">
        <v>114</v>
      </c>
      <c r="C16" s="28" t="s">
        <v>108</v>
      </c>
      <c r="D16" s="29" t="s">
        <v>98</v>
      </c>
      <c r="E16" s="28">
        <v>7.85</v>
      </c>
      <c r="F16" s="28">
        <v>2.75</v>
      </c>
      <c r="G16" s="28">
        <v>1510</v>
      </c>
      <c r="H16" s="28">
        <v>3000</v>
      </c>
      <c r="I16" s="27" t="s">
        <v>121</v>
      </c>
      <c r="J16" s="30">
        <f t="shared" si="0"/>
        <v>97.791375000000002</v>
      </c>
      <c r="K16" s="30" t="s">
        <v>9</v>
      </c>
      <c r="L16" s="44">
        <v>4180</v>
      </c>
      <c r="M16" s="47">
        <f t="shared" si="4"/>
        <v>4380</v>
      </c>
      <c r="N16" s="50">
        <f>N17</f>
        <v>3550</v>
      </c>
      <c r="O16" s="50">
        <f t="shared" ref="O16:AJ16" si="10">O17</f>
        <v>3550</v>
      </c>
      <c r="P16" s="50">
        <f t="shared" si="10"/>
        <v>3550</v>
      </c>
      <c r="Q16" s="50">
        <f>Q17</f>
        <v>3550</v>
      </c>
      <c r="R16" s="50">
        <f t="shared" si="10"/>
        <v>3540</v>
      </c>
      <c r="S16" s="50">
        <f t="shared" si="10"/>
        <v>3530</v>
      </c>
      <c r="T16" s="50">
        <f t="shared" si="10"/>
        <v>3510</v>
      </c>
      <c r="U16" s="50">
        <f t="shared" si="10"/>
        <v>3490</v>
      </c>
      <c r="V16" s="50">
        <f t="shared" si="10"/>
        <v>3500</v>
      </c>
      <c r="W16" s="50">
        <f t="shared" si="10"/>
        <v>3480</v>
      </c>
      <c r="X16" s="50">
        <f t="shared" si="10"/>
        <v>3490</v>
      </c>
      <c r="Y16" s="50">
        <f t="shared" si="10"/>
        <v>3480</v>
      </c>
      <c r="Z16" s="50">
        <f t="shared" si="10"/>
        <v>3500</v>
      </c>
      <c r="AA16" s="50">
        <f t="shared" si="10"/>
        <v>3510</v>
      </c>
      <c r="AB16" s="50">
        <f t="shared" si="10"/>
        <v>3510</v>
      </c>
      <c r="AC16" s="50">
        <f t="shared" si="10"/>
        <v>3520</v>
      </c>
      <c r="AD16" s="50">
        <f t="shared" si="10"/>
        <v>3500</v>
      </c>
      <c r="AE16" s="50">
        <f t="shared" si="10"/>
        <v>3500</v>
      </c>
      <c r="AF16" s="50">
        <f t="shared" si="10"/>
        <v>3510</v>
      </c>
      <c r="AG16" s="50">
        <f t="shared" si="10"/>
        <v>3500</v>
      </c>
      <c r="AH16" s="50">
        <f t="shared" si="10"/>
        <v>3520</v>
      </c>
      <c r="AI16" s="50">
        <f t="shared" si="10"/>
        <v>3510</v>
      </c>
      <c r="AJ16" s="50">
        <f t="shared" si="10"/>
        <v>3500</v>
      </c>
      <c r="AK16" s="47">
        <f t="shared" si="2"/>
        <v>3513</v>
      </c>
      <c r="AL16" s="47">
        <f t="shared" ref="AL16:AL22" si="11">M16</f>
        <v>4380</v>
      </c>
      <c r="AM16" s="47">
        <v>4430</v>
      </c>
      <c r="AN16" s="47"/>
      <c r="AO16" s="47">
        <f t="shared" si="3"/>
        <v>3763</v>
      </c>
      <c r="AP16" s="44"/>
      <c r="AS16" s="26"/>
    </row>
    <row r="17" spans="1:45" s="1" customFormat="1" ht="20.100000000000001" customHeight="1" x14ac:dyDescent="0.25">
      <c r="A17" s="27">
        <v>15</v>
      </c>
      <c r="B17" s="130"/>
      <c r="C17" s="28" t="s">
        <v>86</v>
      </c>
      <c r="D17" s="29" t="s">
        <v>99</v>
      </c>
      <c r="E17" s="28">
        <v>7.85</v>
      </c>
      <c r="F17" s="27">
        <v>3.75</v>
      </c>
      <c r="G17" s="27">
        <v>1510</v>
      </c>
      <c r="H17" s="27">
        <v>3000</v>
      </c>
      <c r="I17" s="27" t="s">
        <v>121</v>
      </c>
      <c r="J17" s="30">
        <f t="shared" si="0"/>
        <v>133.35187499999998</v>
      </c>
      <c r="K17" s="30" t="s">
        <v>9</v>
      </c>
      <c r="L17" s="44">
        <v>4180</v>
      </c>
      <c r="M17" s="47">
        <f t="shared" si="4"/>
        <v>4380</v>
      </c>
      <c r="N17" s="8">
        <v>3550</v>
      </c>
      <c r="O17" s="8">
        <v>3550</v>
      </c>
      <c r="P17" s="8">
        <v>3550</v>
      </c>
      <c r="Q17" s="8">
        <v>3550</v>
      </c>
      <c r="R17" s="8">
        <v>3540</v>
      </c>
      <c r="S17" s="8">
        <v>3530</v>
      </c>
      <c r="T17" s="8">
        <v>3510</v>
      </c>
      <c r="U17" s="8">
        <v>3490</v>
      </c>
      <c r="V17" s="8">
        <v>3500</v>
      </c>
      <c r="W17" s="8">
        <v>3480</v>
      </c>
      <c r="X17" s="8">
        <v>3490</v>
      </c>
      <c r="Y17" s="8">
        <v>3480</v>
      </c>
      <c r="Z17" s="8">
        <v>3500</v>
      </c>
      <c r="AA17" s="8">
        <v>3510</v>
      </c>
      <c r="AB17" s="8">
        <v>3510</v>
      </c>
      <c r="AC17" s="8">
        <v>3520</v>
      </c>
      <c r="AD17" s="8">
        <v>3500</v>
      </c>
      <c r="AE17" s="8">
        <v>3500</v>
      </c>
      <c r="AF17" s="8">
        <v>3510</v>
      </c>
      <c r="AG17" s="8">
        <v>3500</v>
      </c>
      <c r="AH17" s="8">
        <v>3520</v>
      </c>
      <c r="AI17" s="8">
        <v>3510</v>
      </c>
      <c r="AJ17" s="8">
        <v>3500</v>
      </c>
      <c r="AK17" s="47">
        <f t="shared" si="2"/>
        <v>3513</v>
      </c>
      <c r="AL17" s="47">
        <f t="shared" si="11"/>
        <v>4380</v>
      </c>
      <c r="AM17" s="47">
        <v>4430</v>
      </c>
      <c r="AN17" s="47"/>
      <c r="AO17" s="47">
        <f t="shared" si="3"/>
        <v>3763</v>
      </c>
      <c r="AP17" s="44"/>
      <c r="AS17" s="26"/>
    </row>
    <row r="18" spans="1:45" s="1" customFormat="1" ht="20.100000000000001" customHeight="1" x14ac:dyDescent="0.25">
      <c r="A18" s="27">
        <v>16</v>
      </c>
      <c r="B18" s="130"/>
      <c r="C18" s="28" t="s">
        <v>87</v>
      </c>
      <c r="D18" s="29" t="s">
        <v>100</v>
      </c>
      <c r="E18" s="28">
        <v>7.85</v>
      </c>
      <c r="F18" s="27">
        <v>4.75</v>
      </c>
      <c r="G18" s="27">
        <v>1510</v>
      </c>
      <c r="H18" s="27">
        <v>3000</v>
      </c>
      <c r="I18" s="27" t="s">
        <v>121</v>
      </c>
      <c r="J18" s="30">
        <f t="shared" si="0"/>
        <v>168.91237499999997</v>
      </c>
      <c r="K18" s="30" t="s">
        <v>9</v>
      </c>
      <c r="L18" s="44">
        <v>4080</v>
      </c>
      <c r="M18" s="47">
        <f t="shared" si="4"/>
        <v>4280</v>
      </c>
      <c r="N18" s="8">
        <v>3500</v>
      </c>
      <c r="O18" s="8">
        <v>3500</v>
      </c>
      <c r="P18" s="8">
        <v>3500</v>
      </c>
      <c r="Q18" s="8">
        <v>3500</v>
      </c>
      <c r="R18" s="8">
        <v>3490</v>
      </c>
      <c r="S18" s="8">
        <v>3480</v>
      </c>
      <c r="T18" s="8">
        <v>3460</v>
      </c>
      <c r="U18" s="8">
        <v>3440</v>
      </c>
      <c r="V18" s="8">
        <v>3450</v>
      </c>
      <c r="W18" s="8">
        <v>3430</v>
      </c>
      <c r="X18" s="8">
        <v>3440</v>
      </c>
      <c r="Y18" s="8">
        <v>3430</v>
      </c>
      <c r="Z18" s="8">
        <v>3450</v>
      </c>
      <c r="AA18" s="8">
        <v>3460</v>
      </c>
      <c r="AB18" s="8">
        <v>3460</v>
      </c>
      <c r="AC18" s="8">
        <v>3470</v>
      </c>
      <c r="AD18" s="8">
        <v>3450</v>
      </c>
      <c r="AE18" s="8">
        <v>3450</v>
      </c>
      <c r="AF18" s="8">
        <v>3460</v>
      </c>
      <c r="AG18" s="8">
        <v>3450</v>
      </c>
      <c r="AH18" s="8">
        <v>3470</v>
      </c>
      <c r="AI18" s="8">
        <v>3460</v>
      </c>
      <c r="AJ18" s="8">
        <v>3450</v>
      </c>
      <c r="AK18" s="47">
        <f t="shared" si="2"/>
        <v>3463</v>
      </c>
      <c r="AL18" s="47">
        <f t="shared" si="11"/>
        <v>4280</v>
      </c>
      <c r="AM18" s="47">
        <v>4330</v>
      </c>
      <c r="AN18" s="47"/>
      <c r="AO18" s="47">
        <f t="shared" si="3"/>
        <v>3713</v>
      </c>
      <c r="AP18" s="44"/>
      <c r="AS18" s="26"/>
    </row>
    <row r="19" spans="1:45" s="1" customFormat="1" ht="20.100000000000001" customHeight="1" x14ac:dyDescent="0.25">
      <c r="A19" s="27">
        <v>17</v>
      </c>
      <c r="B19" s="129" t="s">
        <v>115</v>
      </c>
      <c r="C19" s="28" t="s">
        <v>87</v>
      </c>
      <c r="D19" s="29" t="s">
        <v>101</v>
      </c>
      <c r="E19" s="28">
        <v>7.85</v>
      </c>
      <c r="F19" s="27">
        <v>5.75</v>
      </c>
      <c r="G19" s="27">
        <v>1510</v>
      </c>
      <c r="H19" s="27">
        <v>3000</v>
      </c>
      <c r="I19" s="27" t="s">
        <v>121</v>
      </c>
      <c r="J19" s="30">
        <f t="shared" si="0"/>
        <v>204.47287499999996</v>
      </c>
      <c r="K19" s="30" t="s">
        <v>9</v>
      </c>
      <c r="L19" s="44">
        <v>4080</v>
      </c>
      <c r="M19" s="47">
        <f t="shared" si="4"/>
        <v>4280</v>
      </c>
      <c r="N19" s="8">
        <v>3510</v>
      </c>
      <c r="O19" s="8">
        <v>3510</v>
      </c>
      <c r="P19" s="8">
        <v>3510</v>
      </c>
      <c r="Q19" s="8">
        <v>3510</v>
      </c>
      <c r="R19" s="8">
        <v>3500</v>
      </c>
      <c r="S19" s="8">
        <v>3490</v>
      </c>
      <c r="T19" s="8">
        <v>3480</v>
      </c>
      <c r="U19" s="8">
        <v>3480</v>
      </c>
      <c r="V19" s="8">
        <v>3470</v>
      </c>
      <c r="W19" s="8">
        <v>3470</v>
      </c>
      <c r="X19" s="8">
        <v>3470</v>
      </c>
      <c r="Y19" s="8">
        <v>3470</v>
      </c>
      <c r="Z19" s="8">
        <v>3470</v>
      </c>
      <c r="AA19" s="8">
        <v>3470</v>
      </c>
      <c r="AB19" s="8">
        <v>3470</v>
      </c>
      <c r="AC19" s="8">
        <v>3480</v>
      </c>
      <c r="AD19" s="8">
        <v>3470</v>
      </c>
      <c r="AE19" s="8">
        <v>3470</v>
      </c>
      <c r="AF19" s="8">
        <v>3480</v>
      </c>
      <c r="AG19" s="8">
        <v>3470</v>
      </c>
      <c r="AH19" s="8">
        <v>3480</v>
      </c>
      <c r="AI19" s="8">
        <v>3480</v>
      </c>
      <c r="AJ19" s="8">
        <v>3470</v>
      </c>
      <c r="AK19" s="47">
        <f t="shared" si="2"/>
        <v>3482</v>
      </c>
      <c r="AL19" s="47">
        <f t="shared" si="11"/>
        <v>4280</v>
      </c>
      <c r="AM19" s="47">
        <v>4280</v>
      </c>
      <c r="AN19" s="47"/>
      <c r="AO19" s="47">
        <f t="shared" si="3"/>
        <v>3732</v>
      </c>
      <c r="AP19" s="44"/>
      <c r="AS19" s="26"/>
    </row>
    <row r="20" spans="1:45" s="1" customFormat="1" ht="20.100000000000001" customHeight="1" x14ac:dyDescent="0.25">
      <c r="A20" s="27">
        <v>18</v>
      </c>
      <c r="B20" s="130"/>
      <c r="C20" s="28" t="s">
        <v>87</v>
      </c>
      <c r="D20" s="29" t="s">
        <v>102</v>
      </c>
      <c r="E20" s="28">
        <v>7.85</v>
      </c>
      <c r="F20" s="27">
        <v>7.75</v>
      </c>
      <c r="G20" s="27">
        <v>1510</v>
      </c>
      <c r="H20" s="27">
        <v>3000</v>
      </c>
      <c r="I20" s="27" t="s">
        <v>121</v>
      </c>
      <c r="J20" s="30">
        <f t="shared" si="0"/>
        <v>275.59387499999997</v>
      </c>
      <c r="K20" s="30" t="s">
        <v>9</v>
      </c>
      <c r="L20" s="44">
        <v>4080</v>
      </c>
      <c r="M20" s="47">
        <f t="shared" si="4"/>
        <v>4280</v>
      </c>
      <c r="N20" s="8">
        <v>3510</v>
      </c>
      <c r="O20" s="8">
        <v>3510</v>
      </c>
      <c r="P20" s="8">
        <v>3510</v>
      </c>
      <c r="Q20" s="8">
        <v>3510</v>
      </c>
      <c r="R20" s="8">
        <v>3500</v>
      </c>
      <c r="S20" s="8">
        <v>3490</v>
      </c>
      <c r="T20" s="8">
        <v>3480</v>
      </c>
      <c r="U20" s="8">
        <v>3480</v>
      </c>
      <c r="V20" s="8">
        <v>3470</v>
      </c>
      <c r="W20" s="8">
        <v>3470</v>
      </c>
      <c r="X20" s="8">
        <v>3470</v>
      </c>
      <c r="Y20" s="8">
        <v>3470</v>
      </c>
      <c r="Z20" s="8">
        <v>3470</v>
      </c>
      <c r="AA20" s="8">
        <v>3470</v>
      </c>
      <c r="AB20" s="8">
        <v>3470</v>
      </c>
      <c r="AC20" s="8">
        <v>3480</v>
      </c>
      <c r="AD20" s="8">
        <v>3470</v>
      </c>
      <c r="AE20" s="8">
        <v>3470</v>
      </c>
      <c r="AF20" s="8">
        <v>3480</v>
      </c>
      <c r="AG20" s="8">
        <v>3470</v>
      </c>
      <c r="AH20" s="8">
        <v>3480</v>
      </c>
      <c r="AI20" s="8">
        <v>3480</v>
      </c>
      <c r="AJ20" s="8">
        <v>3470</v>
      </c>
      <c r="AK20" s="47">
        <f t="shared" si="2"/>
        <v>3482</v>
      </c>
      <c r="AL20" s="47">
        <f t="shared" si="11"/>
        <v>4280</v>
      </c>
      <c r="AM20" s="47">
        <v>4280</v>
      </c>
      <c r="AN20" s="47"/>
      <c r="AO20" s="47">
        <f t="shared" si="3"/>
        <v>3732</v>
      </c>
      <c r="AP20" s="44"/>
      <c r="AS20" s="26"/>
    </row>
    <row r="21" spans="1:45" s="1" customFormat="1" ht="22.2" customHeight="1" x14ac:dyDescent="0.25">
      <c r="A21" s="27">
        <v>19</v>
      </c>
      <c r="B21" s="130"/>
      <c r="C21" s="28" t="s">
        <v>87</v>
      </c>
      <c r="D21" s="29" t="s">
        <v>103</v>
      </c>
      <c r="E21" s="28">
        <v>7.85</v>
      </c>
      <c r="F21" s="27">
        <v>9.75</v>
      </c>
      <c r="G21" s="27">
        <v>1510</v>
      </c>
      <c r="H21" s="27">
        <v>3000</v>
      </c>
      <c r="I21" s="27" t="s">
        <v>121</v>
      </c>
      <c r="J21" s="30">
        <f t="shared" si="0"/>
        <v>346.71487500000001</v>
      </c>
      <c r="K21" s="30" t="s">
        <v>9</v>
      </c>
      <c r="L21" s="44">
        <v>4080</v>
      </c>
      <c r="M21" s="47">
        <f t="shared" si="4"/>
        <v>4280</v>
      </c>
      <c r="N21" s="50">
        <f>N20</f>
        <v>3510</v>
      </c>
      <c r="O21" s="50">
        <f t="shared" ref="O21:AJ21" si="12">O20</f>
        <v>3510</v>
      </c>
      <c r="P21" s="50">
        <f>P20</f>
        <v>3510</v>
      </c>
      <c r="Q21" s="50">
        <f t="shared" si="12"/>
        <v>3510</v>
      </c>
      <c r="R21" s="50">
        <f t="shared" si="12"/>
        <v>3500</v>
      </c>
      <c r="S21" s="50">
        <f t="shared" si="12"/>
        <v>3490</v>
      </c>
      <c r="T21" s="50">
        <f t="shared" si="12"/>
        <v>3480</v>
      </c>
      <c r="U21" s="50">
        <f t="shared" si="12"/>
        <v>3480</v>
      </c>
      <c r="V21" s="50">
        <f t="shared" ref="V21:AA21" si="13">V20</f>
        <v>3470</v>
      </c>
      <c r="W21" s="50">
        <f t="shared" si="13"/>
        <v>3470</v>
      </c>
      <c r="X21" s="50">
        <f t="shared" si="13"/>
        <v>3470</v>
      </c>
      <c r="Y21" s="50">
        <f t="shared" si="13"/>
        <v>3470</v>
      </c>
      <c r="Z21" s="50">
        <f t="shared" si="13"/>
        <v>3470</v>
      </c>
      <c r="AA21" s="50">
        <f t="shared" si="13"/>
        <v>3470</v>
      </c>
      <c r="AB21" s="50">
        <f t="shared" si="12"/>
        <v>3470</v>
      </c>
      <c r="AC21" s="50">
        <f t="shared" si="12"/>
        <v>3480</v>
      </c>
      <c r="AD21" s="50">
        <f t="shared" si="12"/>
        <v>3470</v>
      </c>
      <c r="AE21" s="50">
        <f t="shared" si="12"/>
        <v>3470</v>
      </c>
      <c r="AF21" s="50">
        <f t="shared" si="12"/>
        <v>3480</v>
      </c>
      <c r="AG21" s="50">
        <f t="shared" si="12"/>
        <v>3470</v>
      </c>
      <c r="AH21" s="50">
        <f t="shared" si="12"/>
        <v>3480</v>
      </c>
      <c r="AI21" s="50">
        <f t="shared" si="12"/>
        <v>3480</v>
      </c>
      <c r="AJ21" s="50">
        <f t="shared" si="12"/>
        <v>3470</v>
      </c>
      <c r="AK21" s="47">
        <f t="shared" si="2"/>
        <v>3482</v>
      </c>
      <c r="AL21" s="47">
        <f t="shared" si="11"/>
        <v>4280</v>
      </c>
      <c r="AM21" s="47">
        <v>4350</v>
      </c>
      <c r="AN21" s="47"/>
      <c r="AO21" s="47">
        <f t="shared" si="3"/>
        <v>3732</v>
      </c>
      <c r="AP21" s="121" t="s">
        <v>106</v>
      </c>
      <c r="AS21" s="26"/>
    </row>
    <row r="22" spans="1:45" s="1" customFormat="1" ht="22.2" customHeight="1" x14ac:dyDescent="0.25">
      <c r="A22" s="27">
        <v>20</v>
      </c>
      <c r="B22" s="130"/>
      <c r="C22" s="28" t="s">
        <v>87</v>
      </c>
      <c r="D22" s="29"/>
      <c r="E22" s="28">
        <v>7.85</v>
      </c>
      <c r="F22" s="27">
        <v>11.75</v>
      </c>
      <c r="G22" s="27">
        <v>2500</v>
      </c>
      <c r="H22" s="27">
        <v>12000</v>
      </c>
      <c r="I22" s="27" t="s">
        <v>104</v>
      </c>
      <c r="J22" s="30">
        <f t="shared" si="0"/>
        <v>2767.1249999999995</v>
      </c>
      <c r="K22" s="30" t="s">
        <v>9</v>
      </c>
      <c r="L22" s="44">
        <v>4150</v>
      </c>
      <c r="M22" s="47">
        <f t="shared" si="4"/>
        <v>4350</v>
      </c>
      <c r="N22" s="50">
        <f>N21+70</f>
        <v>3580</v>
      </c>
      <c r="O22" s="50">
        <f t="shared" ref="O22:AJ22" si="14">O21+70</f>
        <v>3580</v>
      </c>
      <c r="P22" s="50">
        <f>P21+70</f>
        <v>3580</v>
      </c>
      <c r="Q22" s="50">
        <f>Q21+70</f>
        <v>3580</v>
      </c>
      <c r="R22" s="50">
        <f t="shared" si="14"/>
        <v>3570</v>
      </c>
      <c r="S22" s="50">
        <f t="shared" si="14"/>
        <v>3560</v>
      </c>
      <c r="T22" s="50">
        <f t="shared" si="14"/>
        <v>3550</v>
      </c>
      <c r="U22" s="50">
        <f t="shared" si="14"/>
        <v>3550</v>
      </c>
      <c r="V22" s="50">
        <f t="shared" ref="V22:AB22" si="15">V21+70</f>
        <v>3540</v>
      </c>
      <c r="W22" s="50">
        <f t="shared" si="15"/>
        <v>3540</v>
      </c>
      <c r="X22" s="50">
        <f t="shared" si="15"/>
        <v>3540</v>
      </c>
      <c r="Y22" s="50">
        <f t="shared" si="15"/>
        <v>3540</v>
      </c>
      <c r="Z22" s="50">
        <f t="shared" si="15"/>
        <v>3540</v>
      </c>
      <c r="AA22" s="50">
        <f t="shared" si="15"/>
        <v>3540</v>
      </c>
      <c r="AB22" s="50">
        <f t="shared" si="15"/>
        <v>3540</v>
      </c>
      <c r="AC22" s="50">
        <f t="shared" si="14"/>
        <v>3550</v>
      </c>
      <c r="AD22" s="50">
        <f t="shared" si="14"/>
        <v>3540</v>
      </c>
      <c r="AE22" s="50">
        <f t="shared" si="14"/>
        <v>3540</v>
      </c>
      <c r="AF22" s="50">
        <f t="shared" si="14"/>
        <v>3550</v>
      </c>
      <c r="AG22" s="50">
        <f t="shared" si="14"/>
        <v>3540</v>
      </c>
      <c r="AH22" s="50">
        <f t="shared" si="14"/>
        <v>3550</v>
      </c>
      <c r="AI22" s="50">
        <f t="shared" si="14"/>
        <v>3550</v>
      </c>
      <c r="AJ22" s="50">
        <f t="shared" si="14"/>
        <v>3540</v>
      </c>
      <c r="AK22" s="47">
        <f t="shared" si="2"/>
        <v>3552</v>
      </c>
      <c r="AL22" s="47">
        <f t="shared" si="11"/>
        <v>4350</v>
      </c>
      <c r="AM22" s="47">
        <v>4350</v>
      </c>
      <c r="AN22" s="47"/>
      <c r="AO22" s="47">
        <f t="shared" si="3"/>
        <v>3802</v>
      </c>
      <c r="AP22" s="121"/>
    </row>
    <row r="23" spans="1:45" ht="20.100000000000001" customHeight="1" x14ac:dyDescent="0.25"/>
    <row r="24" spans="1:45" ht="20.100000000000001" customHeight="1" x14ac:dyDescent="0.25">
      <c r="AF24" s="48" t="s">
        <v>116</v>
      </c>
    </row>
    <row r="25" spans="1:45" ht="20.100000000000001" customHeight="1" x14ac:dyDescent="0.25"/>
    <row r="26" spans="1:45" ht="20.100000000000001" customHeight="1" x14ac:dyDescent="0.25"/>
    <row r="27" spans="1:45" ht="20.100000000000001" customHeight="1" x14ac:dyDescent="0.25"/>
    <row r="36" spans="4:56" s="3" customFormat="1" x14ac:dyDescent="0.25">
      <c r="D36" s="4"/>
      <c r="E36" s="5"/>
      <c r="F36" s="5"/>
      <c r="G36" s="5"/>
      <c r="H36" s="5"/>
      <c r="M36" s="45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5"/>
      <c r="AL36" s="45"/>
      <c r="AM36" s="45"/>
      <c r="AN36" s="45"/>
      <c r="AO36" s="45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</sheetData>
  <mergeCells count="6">
    <mergeCell ref="AP21:AP22"/>
    <mergeCell ref="A1:K1"/>
    <mergeCell ref="B3:B10"/>
    <mergeCell ref="B11:B15"/>
    <mergeCell ref="B16:B18"/>
    <mergeCell ref="B19:B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3B5C-D0C6-4915-9983-FC992FB93205}">
  <sheetPr>
    <pageSetUpPr fitToPage="1"/>
  </sheetPr>
  <dimension ref="A1:BB37"/>
  <sheetViews>
    <sheetView workbookViewId="0">
      <pane xSplit="13" ySplit="2" topLeftCell="Q3" activePane="bottomRight" state="frozen"/>
      <selection activeCell="W8" sqref="W8"/>
      <selection pane="topRight" activeCell="W8" sqref="W8"/>
      <selection pane="bottomLeft" activeCell="W8" sqref="W8"/>
      <selection pane="bottomRight" sqref="A1:K1"/>
    </sheetView>
  </sheetViews>
  <sheetFormatPr defaultColWidth="9" defaultRowHeight="17.399999999999999" x14ac:dyDescent="0.25"/>
  <cols>
    <col min="1" max="1" width="5.69921875" style="52" customWidth="1"/>
    <col min="2" max="2" width="15.5" style="52" customWidth="1"/>
    <col min="3" max="3" width="11.5" style="52" customWidth="1"/>
    <col min="4" max="4" width="12.69921875" style="89" customWidth="1"/>
    <col min="5" max="5" width="9.59765625" style="90" customWidth="1"/>
    <col min="6" max="6" width="9.09765625" style="90" customWidth="1"/>
    <col min="7" max="7" width="7.19921875" style="90" customWidth="1"/>
    <col min="8" max="8" width="7.69921875" style="90" customWidth="1"/>
    <col min="9" max="9" width="11.3984375" style="52" customWidth="1"/>
    <col min="10" max="10" width="7.3984375" style="52" customWidth="1"/>
    <col min="11" max="11" width="8.3984375" style="52" customWidth="1"/>
    <col min="12" max="12" width="9.8984375" style="52" customWidth="1"/>
    <col min="13" max="13" width="9.5" style="53" customWidth="1"/>
    <col min="14" max="19" width="8.5" style="54" customWidth="1"/>
    <col min="20" max="34" width="9.5" style="54" customWidth="1"/>
    <col min="35" max="35" width="13.8984375" style="53" bestFit="1" customWidth="1"/>
    <col min="36" max="36" width="9.5" style="53" hidden="1" customWidth="1"/>
    <col min="37" max="37" width="11.59765625" style="53" hidden="1" customWidth="1"/>
    <col min="38" max="38" width="5.5" style="53" hidden="1" customWidth="1"/>
    <col min="39" max="39" width="9.5" style="53" bestFit="1" customWidth="1"/>
    <col min="40" max="40" width="22.5" style="52" customWidth="1"/>
    <col min="41" max="16384" width="9" style="55"/>
  </cols>
  <sheetData>
    <row r="1" spans="1:43" ht="45" customHeight="1" x14ac:dyDescent="0.25">
      <c r="A1" s="132" t="s">
        <v>127</v>
      </c>
      <c r="B1" s="133"/>
      <c r="C1" s="134"/>
      <c r="D1" s="134"/>
      <c r="E1" s="134"/>
      <c r="F1" s="134"/>
      <c r="G1" s="134"/>
      <c r="H1" s="134"/>
      <c r="I1" s="134"/>
      <c r="J1" s="134"/>
      <c r="K1" s="134"/>
    </row>
    <row r="2" spans="1:43" s="64" customFormat="1" ht="52.2" x14ac:dyDescent="0.25">
      <c r="A2" s="56" t="s">
        <v>78</v>
      </c>
      <c r="B2" s="57" t="s">
        <v>117</v>
      </c>
      <c r="C2" s="56" t="s">
        <v>3</v>
      </c>
      <c r="D2" s="58" t="s">
        <v>88</v>
      </c>
      <c r="E2" s="57" t="s">
        <v>79</v>
      </c>
      <c r="F2" s="57" t="s">
        <v>80</v>
      </c>
      <c r="G2" s="57" t="s">
        <v>81</v>
      </c>
      <c r="H2" s="57" t="s">
        <v>82</v>
      </c>
      <c r="I2" s="59" t="s">
        <v>83</v>
      </c>
      <c r="J2" s="59" t="s">
        <v>84</v>
      </c>
      <c r="K2" s="56" t="s">
        <v>5</v>
      </c>
      <c r="L2" s="60" t="s">
        <v>118</v>
      </c>
      <c r="M2" s="61" t="s">
        <v>119</v>
      </c>
      <c r="N2" s="62">
        <v>46026</v>
      </c>
      <c r="O2" s="62">
        <v>46027</v>
      </c>
      <c r="P2" s="62">
        <v>46028</v>
      </c>
      <c r="Q2" s="62">
        <v>46029</v>
      </c>
      <c r="R2" s="62">
        <v>46030</v>
      </c>
      <c r="S2" s="62">
        <v>46031</v>
      </c>
      <c r="T2" s="62">
        <v>46034</v>
      </c>
      <c r="U2" s="62">
        <v>46035</v>
      </c>
      <c r="V2" s="62">
        <v>46036</v>
      </c>
      <c r="W2" s="62">
        <v>46037</v>
      </c>
      <c r="X2" s="62">
        <v>46038</v>
      </c>
      <c r="Y2" s="62">
        <v>46041</v>
      </c>
      <c r="Z2" s="62">
        <v>46042</v>
      </c>
      <c r="AA2" s="62">
        <v>46043</v>
      </c>
      <c r="AB2" s="62">
        <v>46044</v>
      </c>
      <c r="AC2" s="62">
        <v>46045</v>
      </c>
      <c r="AD2" s="62">
        <v>46048</v>
      </c>
      <c r="AE2" s="62">
        <v>46049</v>
      </c>
      <c r="AF2" s="62">
        <v>46050</v>
      </c>
      <c r="AG2" s="62">
        <v>46051</v>
      </c>
      <c r="AH2" s="62">
        <v>46052</v>
      </c>
      <c r="AI2" s="61" t="s">
        <v>128</v>
      </c>
      <c r="AJ2" s="61" t="s">
        <v>112</v>
      </c>
      <c r="AK2" s="61" t="s">
        <v>120</v>
      </c>
      <c r="AL2" s="61" t="s">
        <v>124</v>
      </c>
      <c r="AM2" s="61" t="s">
        <v>129</v>
      </c>
      <c r="AN2" s="63" t="s">
        <v>105</v>
      </c>
    </row>
    <row r="3" spans="1:43" s="64" customFormat="1" ht="20.100000000000001" customHeight="1" x14ac:dyDescent="0.25">
      <c r="A3" s="65">
        <v>1</v>
      </c>
      <c r="B3" s="135" t="s">
        <v>110</v>
      </c>
      <c r="C3" s="66" t="s">
        <v>85</v>
      </c>
      <c r="D3" s="67" t="s">
        <v>89</v>
      </c>
      <c r="E3" s="66">
        <v>7.85</v>
      </c>
      <c r="F3" s="65">
        <v>2.5</v>
      </c>
      <c r="G3" s="65">
        <v>1510</v>
      </c>
      <c r="H3" s="65">
        <v>3000</v>
      </c>
      <c r="I3" s="65" t="s">
        <v>122</v>
      </c>
      <c r="J3" s="68">
        <f t="shared" ref="J3:J23" si="0">F3/1000*G3/1000*H3/1000*E3*1000</f>
        <v>88.901250000000005</v>
      </c>
      <c r="K3" s="68" t="s">
        <v>9</v>
      </c>
      <c r="L3" s="63">
        <v>4000</v>
      </c>
      <c r="M3" s="69">
        <f>L3+200</f>
        <v>4200</v>
      </c>
      <c r="N3" s="70">
        <v>3440</v>
      </c>
      <c r="O3" s="70">
        <v>3440</v>
      </c>
      <c r="P3" s="70">
        <v>3420</v>
      </c>
      <c r="Q3" s="70">
        <v>3470</v>
      </c>
      <c r="R3" s="70">
        <v>3490</v>
      </c>
      <c r="S3" s="70">
        <v>3460</v>
      </c>
      <c r="T3" s="70">
        <v>3480</v>
      </c>
      <c r="U3" s="70">
        <v>3480</v>
      </c>
      <c r="V3" s="70">
        <v>3470</v>
      </c>
      <c r="W3" s="70">
        <v>3480</v>
      </c>
      <c r="X3" s="70">
        <v>3490</v>
      </c>
      <c r="Y3" s="70">
        <v>3470</v>
      </c>
      <c r="Z3" s="70">
        <v>3460</v>
      </c>
      <c r="AA3" s="70">
        <v>3450</v>
      </c>
      <c r="AB3" s="70">
        <v>3460</v>
      </c>
      <c r="AC3" s="70">
        <v>3470</v>
      </c>
      <c r="AD3" s="70">
        <v>3480</v>
      </c>
      <c r="AE3" s="70">
        <v>3460</v>
      </c>
      <c r="AF3" s="70">
        <v>3460</v>
      </c>
      <c r="AG3" s="70">
        <v>3460</v>
      </c>
      <c r="AH3" s="70">
        <v>3470</v>
      </c>
      <c r="AI3" s="69">
        <f t="shared" ref="AI3:AI23" si="1">ROUND(AVERAGE(N3:AH3),0)</f>
        <v>3465</v>
      </c>
      <c r="AJ3" s="69">
        <f t="shared" ref="AJ3:AJ14" si="2">M3</f>
        <v>4200</v>
      </c>
      <c r="AK3" s="69">
        <v>4230</v>
      </c>
      <c r="AL3" s="69"/>
      <c r="AM3" s="69">
        <f>AI3+AL3+250</f>
        <v>3715</v>
      </c>
      <c r="AN3" s="63"/>
    </row>
    <row r="4" spans="1:43" s="64" customFormat="1" ht="20.100000000000001" customHeight="1" x14ac:dyDescent="0.25">
      <c r="A4" s="65">
        <v>2</v>
      </c>
      <c r="B4" s="136"/>
      <c r="C4" s="66" t="s">
        <v>85</v>
      </c>
      <c r="D4" s="67" t="s">
        <v>97</v>
      </c>
      <c r="E4" s="66">
        <v>7.85</v>
      </c>
      <c r="F4" s="65">
        <v>3</v>
      </c>
      <c r="G4" s="65">
        <v>1500</v>
      </c>
      <c r="H4" s="65">
        <v>3000</v>
      </c>
      <c r="I4" s="65" t="s">
        <v>122</v>
      </c>
      <c r="J4" s="68">
        <f t="shared" si="0"/>
        <v>105.97499999999998</v>
      </c>
      <c r="K4" s="68" t="s">
        <v>9</v>
      </c>
      <c r="L4" s="63">
        <v>3940</v>
      </c>
      <c r="M4" s="69">
        <f>L4+200</f>
        <v>4140</v>
      </c>
      <c r="N4" s="70">
        <v>3420</v>
      </c>
      <c r="O4" s="70">
        <v>3420</v>
      </c>
      <c r="P4" s="70">
        <v>3400</v>
      </c>
      <c r="Q4" s="70">
        <v>3450</v>
      </c>
      <c r="R4" s="70">
        <v>3470</v>
      </c>
      <c r="S4" s="70">
        <v>3440</v>
      </c>
      <c r="T4" s="70">
        <v>3460</v>
      </c>
      <c r="U4" s="70">
        <v>3460</v>
      </c>
      <c r="V4" s="70">
        <v>3450</v>
      </c>
      <c r="W4" s="70">
        <v>3460</v>
      </c>
      <c r="X4" s="70">
        <v>3470</v>
      </c>
      <c r="Y4" s="70">
        <v>3450</v>
      </c>
      <c r="Z4" s="70">
        <v>3440</v>
      </c>
      <c r="AA4" s="70">
        <v>3430</v>
      </c>
      <c r="AB4" s="70">
        <v>3440</v>
      </c>
      <c r="AC4" s="70">
        <v>3450</v>
      </c>
      <c r="AD4" s="70">
        <v>3460</v>
      </c>
      <c r="AE4" s="70">
        <v>3440</v>
      </c>
      <c r="AF4" s="70">
        <v>3440</v>
      </c>
      <c r="AG4" s="70">
        <v>3440</v>
      </c>
      <c r="AH4" s="70">
        <v>3450</v>
      </c>
      <c r="AI4" s="69">
        <f t="shared" si="1"/>
        <v>3445</v>
      </c>
      <c r="AJ4" s="69">
        <f t="shared" si="2"/>
        <v>4140</v>
      </c>
      <c r="AK4" s="69">
        <v>4180</v>
      </c>
      <c r="AL4" s="69"/>
      <c r="AM4" s="69">
        <f t="shared" ref="AM4:AM22" si="3">AI4+AL4+250</f>
        <v>3695</v>
      </c>
      <c r="AN4" s="63"/>
    </row>
    <row r="5" spans="1:43" s="64" customFormat="1" ht="20.100000000000001" customHeight="1" x14ac:dyDescent="0.25">
      <c r="A5" s="65">
        <v>3</v>
      </c>
      <c r="B5" s="136"/>
      <c r="C5" s="66" t="s">
        <v>85</v>
      </c>
      <c r="D5" s="67" t="s">
        <v>90</v>
      </c>
      <c r="E5" s="66">
        <v>7.85</v>
      </c>
      <c r="F5" s="65">
        <v>4</v>
      </c>
      <c r="G5" s="65">
        <v>1510</v>
      </c>
      <c r="H5" s="65">
        <v>3000</v>
      </c>
      <c r="I5" s="65" t="s">
        <v>122</v>
      </c>
      <c r="J5" s="68">
        <f t="shared" si="0"/>
        <v>142.24200000000002</v>
      </c>
      <c r="K5" s="68" t="s">
        <v>9</v>
      </c>
      <c r="L5" s="63">
        <v>3930</v>
      </c>
      <c r="M5" s="69">
        <f t="shared" ref="M5:M23" si="4">L5+200</f>
        <v>4130</v>
      </c>
      <c r="N5" s="70">
        <v>3340</v>
      </c>
      <c r="O5" s="70">
        <v>3340</v>
      </c>
      <c r="P5" s="70">
        <v>3320</v>
      </c>
      <c r="Q5" s="70">
        <v>3370</v>
      </c>
      <c r="R5" s="70">
        <v>3390</v>
      </c>
      <c r="S5" s="70">
        <v>3360</v>
      </c>
      <c r="T5" s="70">
        <v>3380</v>
      </c>
      <c r="U5" s="70">
        <v>3380</v>
      </c>
      <c r="V5" s="70">
        <v>3370</v>
      </c>
      <c r="W5" s="70">
        <v>3380</v>
      </c>
      <c r="X5" s="70">
        <v>3390</v>
      </c>
      <c r="Y5" s="70">
        <v>3370</v>
      </c>
      <c r="Z5" s="70">
        <v>3360</v>
      </c>
      <c r="AA5" s="70">
        <v>3350</v>
      </c>
      <c r="AB5" s="70">
        <v>3360</v>
      </c>
      <c r="AC5" s="70">
        <v>3370</v>
      </c>
      <c r="AD5" s="70">
        <v>3380</v>
      </c>
      <c r="AE5" s="70">
        <v>3360</v>
      </c>
      <c r="AF5" s="70">
        <v>3360</v>
      </c>
      <c r="AG5" s="70">
        <v>3360</v>
      </c>
      <c r="AH5" s="70">
        <v>3370</v>
      </c>
      <c r="AI5" s="69">
        <f t="shared" si="1"/>
        <v>3365</v>
      </c>
      <c r="AJ5" s="69">
        <f t="shared" si="2"/>
        <v>4130</v>
      </c>
      <c r="AK5" s="69">
        <v>4160</v>
      </c>
      <c r="AL5" s="69"/>
      <c r="AM5" s="69">
        <f t="shared" si="3"/>
        <v>3615</v>
      </c>
      <c r="AN5" s="63"/>
    </row>
    <row r="6" spans="1:43" s="64" customFormat="1" ht="20.100000000000001" customHeight="1" x14ac:dyDescent="0.25">
      <c r="A6" s="65">
        <v>4</v>
      </c>
      <c r="B6" s="136"/>
      <c r="C6" s="66" t="s">
        <v>85</v>
      </c>
      <c r="D6" s="67" t="s">
        <v>91</v>
      </c>
      <c r="E6" s="66">
        <v>7.85</v>
      </c>
      <c r="F6" s="65">
        <v>4.75</v>
      </c>
      <c r="G6" s="65">
        <v>1510</v>
      </c>
      <c r="H6" s="65">
        <v>3000</v>
      </c>
      <c r="I6" s="65" t="s">
        <v>122</v>
      </c>
      <c r="J6" s="68">
        <f t="shared" si="0"/>
        <v>168.91237499999997</v>
      </c>
      <c r="K6" s="68" t="s">
        <v>9</v>
      </c>
      <c r="L6" s="63">
        <v>3860</v>
      </c>
      <c r="M6" s="69">
        <f t="shared" si="4"/>
        <v>4060</v>
      </c>
      <c r="N6" s="71">
        <v>3300</v>
      </c>
      <c r="O6" s="71">
        <v>3300</v>
      </c>
      <c r="P6" s="71">
        <v>3280</v>
      </c>
      <c r="Q6" s="71">
        <v>3330</v>
      </c>
      <c r="R6" s="71">
        <v>3350</v>
      </c>
      <c r="S6" s="71">
        <v>3320</v>
      </c>
      <c r="T6" s="71">
        <v>3340</v>
      </c>
      <c r="U6" s="71">
        <v>3340</v>
      </c>
      <c r="V6" s="71">
        <v>3330</v>
      </c>
      <c r="W6" s="71">
        <v>3340</v>
      </c>
      <c r="X6" s="71">
        <v>3350</v>
      </c>
      <c r="Y6" s="71">
        <v>3330</v>
      </c>
      <c r="Z6" s="71">
        <v>3320</v>
      </c>
      <c r="AA6" s="71">
        <v>3310</v>
      </c>
      <c r="AB6" s="71">
        <v>3320</v>
      </c>
      <c r="AC6" s="71">
        <v>3330</v>
      </c>
      <c r="AD6" s="71">
        <v>3340</v>
      </c>
      <c r="AE6" s="71">
        <v>3320</v>
      </c>
      <c r="AF6" s="71">
        <v>3320</v>
      </c>
      <c r="AG6" s="71">
        <v>3320</v>
      </c>
      <c r="AH6" s="71">
        <v>3330</v>
      </c>
      <c r="AI6" s="69">
        <f t="shared" si="1"/>
        <v>3325</v>
      </c>
      <c r="AJ6" s="69">
        <f t="shared" si="2"/>
        <v>4060</v>
      </c>
      <c r="AK6" s="69">
        <v>4090</v>
      </c>
      <c r="AL6" s="69"/>
      <c r="AM6" s="69">
        <f>AI6+AL6+250</f>
        <v>3575</v>
      </c>
      <c r="AN6" s="63"/>
    </row>
    <row r="7" spans="1:43" s="64" customFormat="1" ht="20.100000000000001" customHeight="1" x14ac:dyDescent="0.25">
      <c r="A7" s="65">
        <v>5</v>
      </c>
      <c r="B7" s="136"/>
      <c r="C7" s="66" t="s">
        <v>85</v>
      </c>
      <c r="D7" s="67" t="s">
        <v>92</v>
      </c>
      <c r="E7" s="66">
        <v>7.85</v>
      </c>
      <c r="F7" s="65">
        <v>5.75</v>
      </c>
      <c r="G7" s="65">
        <v>1510</v>
      </c>
      <c r="H7" s="65">
        <v>3000</v>
      </c>
      <c r="I7" s="65" t="s">
        <v>122</v>
      </c>
      <c r="J7" s="68">
        <f t="shared" si="0"/>
        <v>204.47287499999996</v>
      </c>
      <c r="K7" s="68" t="s">
        <v>9</v>
      </c>
      <c r="L7" s="63">
        <v>3860</v>
      </c>
      <c r="M7" s="69">
        <f t="shared" si="4"/>
        <v>4060</v>
      </c>
      <c r="N7" s="71">
        <f>N6</f>
        <v>3300</v>
      </c>
      <c r="O7" s="71">
        <f t="shared" ref="O7:AH7" si="5">O6</f>
        <v>3300</v>
      </c>
      <c r="P7" s="71">
        <f t="shared" si="5"/>
        <v>3280</v>
      </c>
      <c r="Q7" s="71">
        <f t="shared" si="5"/>
        <v>3330</v>
      </c>
      <c r="R7" s="71">
        <f t="shared" si="5"/>
        <v>3350</v>
      </c>
      <c r="S7" s="71">
        <f t="shared" si="5"/>
        <v>3320</v>
      </c>
      <c r="T7" s="71">
        <f t="shared" si="5"/>
        <v>3340</v>
      </c>
      <c r="U7" s="71">
        <f t="shared" si="5"/>
        <v>3340</v>
      </c>
      <c r="V7" s="71">
        <f t="shared" si="5"/>
        <v>3330</v>
      </c>
      <c r="W7" s="71">
        <f t="shared" si="5"/>
        <v>3340</v>
      </c>
      <c r="X7" s="71">
        <f t="shared" si="5"/>
        <v>3350</v>
      </c>
      <c r="Y7" s="71">
        <f t="shared" si="5"/>
        <v>3330</v>
      </c>
      <c r="Z7" s="71">
        <f t="shared" si="5"/>
        <v>3320</v>
      </c>
      <c r="AA7" s="71">
        <f t="shared" si="5"/>
        <v>3310</v>
      </c>
      <c r="AB7" s="71">
        <f t="shared" si="5"/>
        <v>3320</v>
      </c>
      <c r="AC7" s="71">
        <f t="shared" si="5"/>
        <v>3330</v>
      </c>
      <c r="AD7" s="71">
        <f t="shared" si="5"/>
        <v>3340</v>
      </c>
      <c r="AE7" s="71">
        <f t="shared" si="5"/>
        <v>3320</v>
      </c>
      <c r="AF7" s="71">
        <f t="shared" si="5"/>
        <v>3320</v>
      </c>
      <c r="AG7" s="71">
        <f t="shared" si="5"/>
        <v>3320</v>
      </c>
      <c r="AH7" s="71">
        <f t="shared" si="5"/>
        <v>3330</v>
      </c>
      <c r="AI7" s="69">
        <f t="shared" si="1"/>
        <v>3325</v>
      </c>
      <c r="AJ7" s="69">
        <f t="shared" si="2"/>
        <v>4060</v>
      </c>
      <c r="AK7" s="69">
        <v>4090</v>
      </c>
      <c r="AL7" s="69"/>
      <c r="AM7" s="69">
        <f t="shared" si="3"/>
        <v>3575</v>
      </c>
      <c r="AN7" s="63"/>
    </row>
    <row r="8" spans="1:43" s="64" customFormat="1" ht="20.100000000000001" customHeight="1" x14ac:dyDescent="0.25">
      <c r="A8" s="65">
        <v>6</v>
      </c>
      <c r="B8" s="136"/>
      <c r="C8" s="66" t="s">
        <v>85</v>
      </c>
      <c r="D8" s="67" t="s">
        <v>93</v>
      </c>
      <c r="E8" s="66">
        <v>7.85</v>
      </c>
      <c r="F8" s="65">
        <v>7.75</v>
      </c>
      <c r="G8" s="65">
        <v>1510</v>
      </c>
      <c r="H8" s="65">
        <v>3000</v>
      </c>
      <c r="I8" s="65" t="s">
        <v>122</v>
      </c>
      <c r="J8" s="68">
        <f t="shared" si="0"/>
        <v>275.59387499999997</v>
      </c>
      <c r="K8" s="68" t="s">
        <v>9</v>
      </c>
      <c r="L8" s="63">
        <v>3860</v>
      </c>
      <c r="M8" s="69">
        <f t="shared" si="4"/>
        <v>4060</v>
      </c>
      <c r="N8" s="71">
        <f>N6</f>
        <v>3300</v>
      </c>
      <c r="O8" s="71">
        <f t="shared" ref="O8:AH8" si="6">O6</f>
        <v>3300</v>
      </c>
      <c r="P8" s="71">
        <f t="shared" si="6"/>
        <v>3280</v>
      </c>
      <c r="Q8" s="71">
        <f t="shared" si="6"/>
        <v>3330</v>
      </c>
      <c r="R8" s="71">
        <f t="shared" si="6"/>
        <v>3350</v>
      </c>
      <c r="S8" s="71">
        <f t="shared" si="6"/>
        <v>3320</v>
      </c>
      <c r="T8" s="71">
        <f t="shared" si="6"/>
        <v>3340</v>
      </c>
      <c r="U8" s="71">
        <f t="shared" si="6"/>
        <v>3340</v>
      </c>
      <c r="V8" s="71">
        <f t="shared" si="6"/>
        <v>3330</v>
      </c>
      <c r="W8" s="71">
        <f t="shared" si="6"/>
        <v>3340</v>
      </c>
      <c r="X8" s="71">
        <f t="shared" si="6"/>
        <v>3350</v>
      </c>
      <c r="Y8" s="71">
        <f t="shared" si="6"/>
        <v>3330</v>
      </c>
      <c r="Z8" s="71">
        <f t="shared" si="6"/>
        <v>3320</v>
      </c>
      <c r="AA8" s="71">
        <f t="shared" si="6"/>
        <v>3310</v>
      </c>
      <c r="AB8" s="71">
        <f t="shared" si="6"/>
        <v>3320</v>
      </c>
      <c r="AC8" s="71">
        <f t="shared" si="6"/>
        <v>3330</v>
      </c>
      <c r="AD8" s="71">
        <f t="shared" si="6"/>
        <v>3340</v>
      </c>
      <c r="AE8" s="71">
        <f t="shared" si="6"/>
        <v>3320</v>
      </c>
      <c r="AF8" s="71">
        <f t="shared" si="6"/>
        <v>3320</v>
      </c>
      <c r="AG8" s="71">
        <f t="shared" si="6"/>
        <v>3320</v>
      </c>
      <c r="AH8" s="71">
        <f t="shared" si="6"/>
        <v>3330</v>
      </c>
      <c r="AI8" s="69">
        <f t="shared" si="1"/>
        <v>3325</v>
      </c>
      <c r="AJ8" s="69">
        <f t="shared" si="2"/>
        <v>4060</v>
      </c>
      <c r="AK8" s="69">
        <v>4090</v>
      </c>
      <c r="AL8" s="69"/>
      <c r="AM8" s="69">
        <f t="shared" si="3"/>
        <v>3575</v>
      </c>
      <c r="AN8" s="63"/>
    </row>
    <row r="9" spans="1:43" s="64" customFormat="1" ht="20.100000000000001" customHeight="1" x14ac:dyDescent="0.25">
      <c r="A9" s="65">
        <v>7</v>
      </c>
      <c r="B9" s="136"/>
      <c r="C9" s="66" t="s">
        <v>85</v>
      </c>
      <c r="D9" s="67" t="s">
        <v>94</v>
      </c>
      <c r="E9" s="66">
        <v>7.85</v>
      </c>
      <c r="F9" s="65">
        <v>9.75</v>
      </c>
      <c r="G9" s="65">
        <v>1510</v>
      </c>
      <c r="H9" s="65">
        <v>3000</v>
      </c>
      <c r="I9" s="65" t="s">
        <v>122</v>
      </c>
      <c r="J9" s="68">
        <f t="shared" si="0"/>
        <v>346.71487500000001</v>
      </c>
      <c r="K9" s="68" t="s">
        <v>9</v>
      </c>
      <c r="L9" s="63">
        <v>3860</v>
      </c>
      <c r="M9" s="69">
        <f t="shared" si="4"/>
        <v>4060</v>
      </c>
      <c r="N9" s="71">
        <f>N6</f>
        <v>3300</v>
      </c>
      <c r="O9" s="71">
        <f t="shared" ref="O9:AH9" si="7">O6</f>
        <v>3300</v>
      </c>
      <c r="P9" s="71">
        <f t="shared" si="7"/>
        <v>3280</v>
      </c>
      <c r="Q9" s="71">
        <f t="shared" si="7"/>
        <v>3330</v>
      </c>
      <c r="R9" s="71">
        <f t="shared" si="7"/>
        <v>3350</v>
      </c>
      <c r="S9" s="71">
        <f t="shared" si="7"/>
        <v>3320</v>
      </c>
      <c r="T9" s="71">
        <f t="shared" si="7"/>
        <v>3340</v>
      </c>
      <c r="U9" s="71">
        <f t="shared" si="7"/>
        <v>3340</v>
      </c>
      <c r="V9" s="71">
        <f t="shared" si="7"/>
        <v>3330</v>
      </c>
      <c r="W9" s="71">
        <f t="shared" si="7"/>
        <v>3340</v>
      </c>
      <c r="X9" s="71">
        <f t="shared" si="7"/>
        <v>3350</v>
      </c>
      <c r="Y9" s="71">
        <f t="shared" si="7"/>
        <v>3330</v>
      </c>
      <c r="Z9" s="71">
        <f t="shared" si="7"/>
        <v>3320</v>
      </c>
      <c r="AA9" s="71">
        <f t="shared" si="7"/>
        <v>3310</v>
      </c>
      <c r="AB9" s="71">
        <f t="shared" si="7"/>
        <v>3320</v>
      </c>
      <c r="AC9" s="71">
        <f t="shared" si="7"/>
        <v>3330</v>
      </c>
      <c r="AD9" s="71">
        <f t="shared" si="7"/>
        <v>3340</v>
      </c>
      <c r="AE9" s="71">
        <f t="shared" si="7"/>
        <v>3320</v>
      </c>
      <c r="AF9" s="71">
        <f t="shared" si="7"/>
        <v>3320</v>
      </c>
      <c r="AG9" s="71">
        <f t="shared" si="7"/>
        <v>3320</v>
      </c>
      <c r="AH9" s="71">
        <f t="shared" si="7"/>
        <v>3330</v>
      </c>
      <c r="AI9" s="69">
        <f t="shared" si="1"/>
        <v>3325</v>
      </c>
      <c r="AJ9" s="69">
        <f t="shared" si="2"/>
        <v>4060</v>
      </c>
      <c r="AK9" s="69">
        <v>4090</v>
      </c>
      <c r="AL9" s="69"/>
      <c r="AM9" s="69">
        <f t="shared" si="3"/>
        <v>3575</v>
      </c>
      <c r="AN9" s="63"/>
    </row>
    <row r="10" spans="1:43" s="64" customFormat="1" ht="20.100000000000001" customHeight="1" x14ac:dyDescent="0.25">
      <c r="A10" s="65">
        <v>8</v>
      </c>
      <c r="B10" s="136"/>
      <c r="C10" s="66" t="s">
        <v>109</v>
      </c>
      <c r="D10" s="67"/>
      <c r="E10" s="66">
        <v>7.85</v>
      </c>
      <c r="F10" s="66">
        <v>11.75</v>
      </c>
      <c r="G10" s="66">
        <v>1510</v>
      </c>
      <c r="H10" s="66">
        <v>3000</v>
      </c>
      <c r="I10" s="65" t="s">
        <v>122</v>
      </c>
      <c r="J10" s="68">
        <f t="shared" si="0"/>
        <v>417.83587500000004</v>
      </c>
      <c r="K10" s="68" t="s">
        <v>9</v>
      </c>
      <c r="L10" s="63">
        <v>3860</v>
      </c>
      <c r="M10" s="69">
        <f t="shared" si="4"/>
        <v>4060</v>
      </c>
      <c r="N10" s="71">
        <f>N6</f>
        <v>3300</v>
      </c>
      <c r="O10" s="71">
        <f t="shared" ref="O10:AH10" si="8">O6</f>
        <v>3300</v>
      </c>
      <c r="P10" s="71">
        <f t="shared" si="8"/>
        <v>3280</v>
      </c>
      <c r="Q10" s="71">
        <f t="shared" si="8"/>
        <v>3330</v>
      </c>
      <c r="R10" s="71">
        <f t="shared" si="8"/>
        <v>3350</v>
      </c>
      <c r="S10" s="71">
        <f t="shared" si="8"/>
        <v>3320</v>
      </c>
      <c r="T10" s="71">
        <f t="shared" si="8"/>
        <v>3340</v>
      </c>
      <c r="U10" s="71">
        <f t="shared" si="8"/>
        <v>3340</v>
      </c>
      <c r="V10" s="71">
        <f t="shared" si="8"/>
        <v>3330</v>
      </c>
      <c r="W10" s="71">
        <f t="shared" si="8"/>
        <v>3340</v>
      </c>
      <c r="X10" s="71">
        <f t="shared" si="8"/>
        <v>3350</v>
      </c>
      <c r="Y10" s="71">
        <f t="shared" si="8"/>
        <v>3330</v>
      </c>
      <c r="Z10" s="71">
        <f t="shared" si="8"/>
        <v>3320</v>
      </c>
      <c r="AA10" s="71">
        <f t="shared" si="8"/>
        <v>3310</v>
      </c>
      <c r="AB10" s="71">
        <f t="shared" si="8"/>
        <v>3320</v>
      </c>
      <c r="AC10" s="71">
        <f t="shared" si="8"/>
        <v>3330</v>
      </c>
      <c r="AD10" s="71">
        <f t="shared" si="8"/>
        <v>3340</v>
      </c>
      <c r="AE10" s="71">
        <f t="shared" si="8"/>
        <v>3320</v>
      </c>
      <c r="AF10" s="71">
        <f t="shared" si="8"/>
        <v>3320</v>
      </c>
      <c r="AG10" s="71">
        <f t="shared" si="8"/>
        <v>3320</v>
      </c>
      <c r="AH10" s="71">
        <f t="shared" si="8"/>
        <v>3330</v>
      </c>
      <c r="AI10" s="69">
        <f t="shared" si="1"/>
        <v>3325</v>
      </c>
      <c r="AJ10" s="69">
        <f t="shared" si="2"/>
        <v>4060</v>
      </c>
      <c r="AK10" s="69">
        <v>4090</v>
      </c>
      <c r="AL10" s="69"/>
      <c r="AM10" s="69">
        <f t="shared" si="3"/>
        <v>3575</v>
      </c>
      <c r="AN10" s="63"/>
    </row>
    <row r="11" spans="1:43" s="76" customFormat="1" ht="20.100000000000001" customHeight="1" x14ac:dyDescent="0.25">
      <c r="A11" s="72">
        <v>9</v>
      </c>
      <c r="B11" s="137" t="s">
        <v>111</v>
      </c>
      <c r="C11" s="73" t="s">
        <v>107</v>
      </c>
      <c r="D11" s="74" t="s">
        <v>95</v>
      </c>
      <c r="E11" s="73">
        <v>7.85</v>
      </c>
      <c r="F11" s="73">
        <v>1</v>
      </c>
      <c r="G11" s="73">
        <v>1250</v>
      </c>
      <c r="H11" s="73">
        <v>2500</v>
      </c>
      <c r="I11" s="72" t="s">
        <v>123</v>
      </c>
      <c r="J11" s="75">
        <f t="shared" si="0"/>
        <v>24.53125</v>
      </c>
      <c r="K11" s="75" t="s">
        <v>9</v>
      </c>
      <c r="L11" s="63">
        <v>4430</v>
      </c>
      <c r="M11" s="69">
        <f t="shared" si="4"/>
        <v>4630</v>
      </c>
      <c r="N11" s="70">
        <v>3930</v>
      </c>
      <c r="O11" s="70">
        <v>3920</v>
      </c>
      <c r="P11" s="70">
        <v>3900</v>
      </c>
      <c r="Q11" s="70">
        <v>3900</v>
      </c>
      <c r="R11" s="70">
        <v>3900</v>
      </c>
      <c r="S11" s="70">
        <v>3900</v>
      </c>
      <c r="T11" s="70">
        <v>3900</v>
      </c>
      <c r="U11" s="70">
        <v>3900</v>
      </c>
      <c r="V11" s="70">
        <v>3900</v>
      </c>
      <c r="W11" s="70">
        <v>3900</v>
      </c>
      <c r="X11" s="70">
        <v>3900</v>
      </c>
      <c r="Y11" s="70">
        <v>3900</v>
      </c>
      <c r="Z11" s="70">
        <v>3900</v>
      </c>
      <c r="AA11" s="70">
        <v>3900</v>
      </c>
      <c r="AB11" s="70">
        <v>3900</v>
      </c>
      <c r="AC11" s="70">
        <v>3900</v>
      </c>
      <c r="AD11" s="70">
        <v>3900</v>
      </c>
      <c r="AE11" s="70">
        <v>3900</v>
      </c>
      <c r="AF11" s="70">
        <v>3900</v>
      </c>
      <c r="AG11" s="70">
        <v>3900</v>
      </c>
      <c r="AH11" s="70">
        <v>3900</v>
      </c>
      <c r="AI11" s="69">
        <f t="shared" si="1"/>
        <v>3902</v>
      </c>
      <c r="AJ11" s="69">
        <f t="shared" si="2"/>
        <v>4630</v>
      </c>
      <c r="AK11" s="69">
        <v>4450</v>
      </c>
      <c r="AL11" s="69">
        <v>200</v>
      </c>
      <c r="AM11" s="69">
        <f t="shared" si="3"/>
        <v>4352</v>
      </c>
      <c r="AN11" s="63"/>
      <c r="AQ11" s="64"/>
    </row>
    <row r="12" spans="1:43" s="76" customFormat="1" ht="20.100000000000001" customHeight="1" x14ac:dyDescent="0.25">
      <c r="A12" s="72">
        <v>10</v>
      </c>
      <c r="B12" s="138"/>
      <c r="C12" s="73" t="s">
        <v>107</v>
      </c>
      <c r="D12" s="74"/>
      <c r="E12" s="73">
        <v>7.85</v>
      </c>
      <c r="F12" s="72">
        <v>1.5</v>
      </c>
      <c r="G12" s="72">
        <v>1250</v>
      </c>
      <c r="H12" s="72">
        <v>2500</v>
      </c>
      <c r="I12" s="72" t="s">
        <v>123</v>
      </c>
      <c r="J12" s="75">
        <f t="shared" si="0"/>
        <v>36.796875</v>
      </c>
      <c r="K12" s="75" t="s">
        <v>9</v>
      </c>
      <c r="L12" s="63">
        <v>4380</v>
      </c>
      <c r="M12" s="69">
        <f t="shared" si="4"/>
        <v>4580</v>
      </c>
      <c r="N12" s="70">
        <v>3880</v>
      </c>
      <c r="O12" s="70">
        <v>3870</v>
      </c>
      <c r="P12" s="70">
        <v>3850</v>
      </c>
      <c r="Q12" s="70">
        <v>3850</v>
      </c>
      <c r="R12" s="70">
        <v>3850</v>
      </c>
      <c r="S12" s="70">
        <v>3850</v>
      </c>
      <c r="T12" s="70">
        <v>3850</v>
      </c>
      <c r="U12" s="70">
        <v>3850</v>
      </c>
      <c r="V12" s="70">
        <v>3850</v>
      </c>
      <c r="W12" s="70">
        <v>3850</v>
      </c>
      <c r="X12" s="70">
        <v>3850</v>
      </c>
      <c r="Y12" s="70">
        <v>3850</v>
      </c>
      <c r="Z12" s="70">
        <v>3850</v>
      </c>
      <c r="AA12" s="70">
        <v>3850</v>
      </c>
      <c r="AB12" s="70">
        <v>3850</v>
      </c>
      <c r="AC12" s="70">
        <v>3850</v>
      </c>
      <c r="AD12" s="70">
        <v>3850</v>
      </c>
      <c r="AE12" s="70">
        <v>3850</v>
      </c>
      <c r="AF12" s="70">
        <v>3850</v>
      </c>
      <c r="AG12" s="70">
        <v>3850</v>
      </c>
      <c r="AH12" s="70">
        <v>3850</v>
      </c>
      <c r="AI12" s="69">
        <f t="shared" si="1"/>
        <v>3852</v>
      </c>
      <c r="AJ12" s="69">
        <f t="shared" si="2"/>
        <v>4580</v>
      </c>
      <c r="AK12" s="69">
        <v>4400</v>
      </c>
      <c r="AL12" s="69">
        <v>200</v>
      </c>
      <c r="AM12" s="69">
        <f t="shared" si="3"/>
        <v>4302</v>
      </c>
      <c r="AN12" s="63"/>
      <c r="AQ12" s="64"/>
    </row>
    <row r="13" spans="1:43" s="76" customFormat="1" ht="18.75" customHeight="1" x14ac:dyDescent="0.25">
      <c r="A13" s="72">
        <v>11</v>
      </c>
      <c r="B13" s="138"/>
      <c r="C13" s="73" t="s">
        <v>107</v>
      </c>
      <c r="D13" s="74" t="s">
        <v>96</v>
      </c>
      <c r="E13" s="73">
        <v>7.85</v>
      </c>
      <c r="F13" s="72">
        <v>2</v>
      </c>
      <c r="G13" s="72">
        <v>1250</v>
      </c>
      <c r="H13" s="72">
        <v>3000</v>
      </c>
      <c r="I13" s="72" t="s">
        <v>113</v>
      </c>
      <c r="J13" s="75">
        <f t="shared" si="0"/>
        <v>58.875</v>
      </c>
      <c r="K13" s="75" t="s">
        <v>9</v>
      </c>
      <c r="L13" s="63">
        <v>4380</v>
      </c>
      <c r="M13" s="69">
        <f>L13+200</f>
        <v>4580</v>
      </c>
      <c r="N13" s="77">
        <f>N12</f>
        <v>3880</v>
      </c>
      <c r="O13" s="77">
        <f t="shared" ref="O13:AH13" si="9">O12</f>
        <v>3870</v>
      </c>
      <c r="P13" s="77">
        <f t="shared" si="9"/>
        <v>3850</v>
      </c>
      <c r="Q13" s="77">
        <f t="shared" si="9"/>
        <v>3850</v>
      </c>
      <c r="R13" s="77">
        <f t="shared" si="9"/>
        <v>3850</v>
      </c>
      <c r="S13" s="77">
        <f t="shared" si="9"/>
        <v>3850</v>
      </c>
      <c r="T13" s="77">
        <f t="shared" si="9"/>
        <v>3850</v>
      </c>
      <c r="U13" s="77">
        <f t="shared" si="9"/>
        <v>3850</v>
      </c>
      <c r="V13" s="77">
        <f t="shared" si="9"/>
        <v>3850</v>
      </c>
      <c r="W13" s="77">
        <f t="shared" si="9"/>
        <v>3850</v>
      </c>
      <c r="X13" s="77">
        <f t="shared" si="9"/>
        <v>3850</v>
      </c>
      <c r="Y13" s="77">
        <f t="shared" si="9"/>
        <v>3850</v>
      </c>
      <c r="Z13" s="77">
        <f t="shared" si="9"/>
        <v>3850</v>
      </c>
      <c r="AA13" s="77">
        <f t="shared" si="9"/>
        <v>3850</v>
      </c>
      <c r="AB13" s="77">
        <f t="shared" si="9"/>
        <v>3850</v>
      </c>
      <c r="AC13" s="77">
        <f t="shared" si="9"/>
        <v>3850</v>
      </c>
      <c r="AD13" s="77">
        <f t="shared" si="9"/>
        <v>3850</v>
      </c>
      <c r="AE13" s="77">
        <f t="shared" si="9"/>
        <v>3850</v>
      </c>
      <c r="AF13" s="77">
        <f t="shared" si="9"/>
        <v>3850</v>
      </c>
      <c r="AG13" s="77">
        <f t="shared" si="9"/>
        <v>3850</v>
      </c>
      <c r="AH13" s="77">
        <f t="shared" si="9"/>
        <v>3850</v>
      </c>
      <c r="AI13" s="69">
        <f t="shared" si="1"/>
        <v>3852</v>
      </c>
      <c r="AJ13" s="69">
        <f t="shared" si="2"/>
        <v>4580</v>
      </c>
      <c r="AK13" s="69">
        <v>4400</v>
      </c>
      <c r="AL13" s="69">
        <v>200</v>
      </c>
      <c r="AM13" s="69">
        <f t="shared" si="3"/>
        <v>4302</v>
      </c>
      <c r="AN13" s="63"/>
      <c r="AQ13" s="64"/>
    </row>
    <row r="14" spans="1:43" s="76" customFormat="1" ht="18.75" customHeight="1" x14ac:dyDescent="0.25">
      <c r="A14" s="72">
        <v>12</v>
      </c>
      <c r="B14" s="138"/>
      <c r="C14" s="73" t="s">
        <v>107</v>
      </c>
      <c r="D14" s="74" t="s">
        <v>96</v>
      </c>
      <c r="E14" s="73">
        <v>7.85</v>
      </c>
      <c r="F14" s="72">
        <v>2.5</v>
      </c>
      <c r="G14" s="72">
        <v>1250</v>
      </c>
      <c r="H14" s="72">
        <v>3000</v>
      </c>
      <c r="I14" s="72" t="s">
        <v>113</v>
      </c>
      <c r="J14" s="75">
        <f t="shared" si="0"/>
        <v>73.59375</v>
      </c>
      <c r="K14" s="75" t="s">
        <v>9</v>
      </c>
      <c r="L14" s="63">
        <v>4380</v>
      </c>
      <c r="M14" s="69">
        <f t="shared" si="4"/>
        <v>4580</v>
      </c>
      <c r="N14" s="70">
        <v>4110</v>
      </c>
      <c r="O14" s="70">
        <v>4110</v>
      </c>
      <c r="P14" s="70">
        <v>4080</v>
      </c>
      <c r="Q14" s="70">
        <v>4080</v>
      </c>
      <c r="R14" s="70">
        <v>4080</v>
      </c>
      <c r="S14" s="70">
        <v>4080</v>
      </c>
      <c r="T14" s="70">
        <v>4080</v>
      </c>
      <c r="U14" s="70">
        <v>4080</v>
      </c>
      <c r="V14" s="70">
        <v>4080</v>
      </c>
      <c r="W14" s="70">
        <v>4080</v>
      </c>
      <c r="X14" s="70">
        <v>4080</v>
      </c>
      <c r="Y14" s="70">
        <v>4080</v>
      </c>
      <c r="Z14" s="70">
        <v>4080</v>
      </c>
      <c r="AA14" s="70">
        <v>4080</v>
      </c>
      <c r="AB14" s="70">
        <v>4080</v>
      </c>
      <c r="AC14" s="70">
        <v>4080</v>
      </c>
      <c r="AD14" s="70">
        <v>4080</v>
      </c>
      <c r="AE14" s="70">
        <v>4080</v>
      </c>
      <c r="AF14" s="70">
        <v>4080</v>
      </c>
      <c r="AG14" s="70">
        <v>4080</v>
      </c>
      <c r="AH14" s="70">
        <v>4080</v>
      </c>
      <c r="AI14" s="69">
        <f t="shared" si="1"/>
        <v>4083</v>
      </c>
      <c r="AJ14" s="69">
        <f t="shared" si="2"/>
        <v>4580</v>
      </c>
      <c r="AK14" s="69">
        <v>4400</v>
      </c>
      <c r="AL14" s="69">
        <v>200</v>
      </c>
      <c r="AM14" s="69">
        <f t="shared" si="3"/>
        <v>4533</v>
      </c>
      <c r="AN14" s="63"/>
      <c r="AQ14" s="64"/>
    </row>
    <row r="15" spans="1:43" s="64" customFormat="1" ht="18.75" customHeight="1" x14ac:dyDescent="0.25">
      <c r="A15" s="72">
        <v>13</v>
      </c>
      <c r="B15" s="138"/>
      <c r="C15" s="73" t="s">
        <v>107</v>
      </c>
      <c r="D15" s="74"/>
      <c r="E15" s="73">
        <v>7.85</v>
      </c>
      <c r="F15" s="72">
        <v>3</v>
      </c>
      <c r="G15" s="72">
        <v>1250</v>
      </c>
      <c r="H15" s="72">
        <v>3000</v>
      </c>
      <c r="I15" s="72" t="s">
        <v>113</v>
      </c>
      <c r="J15" s="75">
        <f t="shared" si="0"/>
        <v>88.312499999999986</v>
      </c>
      <c r="K15" s="75" t="s">
        <v>9</v>
      </c>
      <c r="L15" s="63"/>
      <c r="M15" s="69"/>
      <c r="N15" s="70">
        <v>4230</v>
      </c>
      <c r="O15" s="70">
        <v>4220</v>
      </c>
      <c r="P15" s="70">
        <v>4200</v>
      </c>
      <c r="Q15" s="70">
        <v>4200</v>
      </c>
      <c r="R15" s="70">
        <v>4200</v>
      </c>
      <c r="S15" s="70">
        <v>4200</v>
      </c>
      <c r="T15" s="70">
        <v>4200</v>
      </c>
      <c r="U15" s="70">
        <v>4200</v>
      </c>
      <c r="V15" s="70">
        <v>4200</v>
      </c>
      <c r="W15" s="70">
        <v>4200</v>
      </c>
      <c r="X15" s="70">
        <v>4200</v>
      </c>
      <c r="Y15" s="70">
        <v>4200</v>
      </c>
      <c r="Z15" s="70">
        <v>4200</v>
      </c>
      <c r="AA15" s="70">
        <v>4200</v>
      </c>
      <c r="AB15" s="70">
        <v>4200</v>
      </c>
      <c r="AC15" s="70">
        <v>4200</v>
      </c>
      <c r="AD15" s="70">
        <v>4200</v>
      </c>
      <c r="AE15" s="70">
        <v>4200</v>
      </c>
      <c r="AF15" s="70">
        <v>4200</v>
      </c>
      <c r="AG15" s="70">
        <v>4200</v>
      </c>
      <c r="AH15" s="70">
        <v>4200</v>
      </c>
      <c r="AI15" s="69">
        <f t="shared" si="1"/>
        <v>4202</v>
      </c>
      <c r="AJ15" s="69"/>
      <c r="AK15" s="69"/>
      <c r="AL15" s="69">
        <v>200</v>
      </c>
      <c r="AM15" s="69">
        <f t="shared" si="3"/>
        <v>4652</v>
      </c>
      <c r="AN15" s="63"/>
    </row>
    <row r="16" spans="1:43" s="76" customFormat="1" ht="20.100000000000001" customHeight="1" x14ac:dyDescent="0.25">
      <c r="A16" s="78">
        <v>14</v>
      </c>
      <c r="B16" s="139" t="s">
        <v>114</v>
      </c>
      <c r="C16" s="79" t="s">
        <v>108</v>
      </c>
      <c r="D16" s="80" t="s">
        <v>98</v>
      </c>
      <c r="E16" s="79">
        <v>7.85</v>
      </c>
      <c r="F16" s="79">
        <v>2.75</v>
      </c>
      <c r="G16" s="79">
        <v>1510</v>
      </c>
      <c r="H16" s="79">
        <v>3000</v>
      </c>
      <c r="I16" s="78" t="s">
        <v>121</v>
      </c>
      <c r="J16" s="81">
        <f t="shared" si="0"/>
        <v>97.791375000000002</v>
      </c>
      <c r="K16" s="81" t="s">
        <v>9</v>
      </c>
      <c r="L16" s="63">
        <v>4180</v>
      </c>
      <c r="M16" s="69">
        <f t="shared" si="4"/>
        <v>4380</v>
      </c>
      <c r="N16" s="77">
        <f>N17</f>
        <v>3500</v>
      </c>
      <c r="O16" s="77">
        <f t="shared" ref="O16:AH16" si="10">O17</f>
        <v>3500</v>
      </c>
      <c r="P16" s="77">
        <f t="shared" si="10"/>
        <v>3470</v>
      </c>
      <c r="Q16" s="77">
        <f>Q17</f>
        <v>3510</v>
      </c>
      <c r="R16" s="77">
        <f t="shared" si="10"/>
        <v>3550</v>
      </c>
      <c r="S16" s="77">
        <f t="shared" si="10"/>
        <v>3510</v>
      </c>
      <c r="T16" s="77">
        <f t="shared" si="10"/>
        <v>3510</v>
      </c>
      <c r="U16" s="77">
        <f t="shared" si="10"/>
        <v>3510</v>
      </c>
      <c r="V16" s="77">
        <f t="shared" si="10"/>
        <v>3510</v>
      </c>
      <c r="W16" s="77">
        <f t="shared" si="10"/>
        <v>3510</v>
      </c>
      <c r="X16" s="77">
        <f t="shared" si="10"/>
        <v>3510</v>
      </c>
      <c r="Y16" s="77">
        <f t="shared" si="10"/>
        <v>3500</v>
      </c>
      <c r="Z16" s="77">
        <f t="shared" si="10"/>
        <v>3480</v>
      </c>
      <c r="AA16" s="77">
        <f t="shared" si="10"/>
        <v>3470</v>
      </c>
      <c r="AB16" s="77">
        <f t="shared" si="10"/>
        <v>3470</v>
      </c>
      <c r="AC16" s="77">
        <f t="shared" si="10"/>
        <v>3470</v>
      </c>
      <c r="AD16" s="77">
        <f t="shared" si="10"/>
        <v>3490</v>
      </c>
      <c r="AE16" s="77">
        <f t="shared" si="10"/>
        <v>3480</v>
      </c>
      <c r="AF16" s="77">
        <f t="shared" si="10"/>
        <v>3480</v>
      </c>
      <c r="AG16" s="77">
        <f t="shared" si="10"/>
        <v>3480</v>
      </c>
      <c r="AH16" s="77">
        <f t="shared" si="10"/>
        <v>3490</v>
      </c>
      <c r="AI16" s="69">
        <f t="shared" si="1"/>
        <v>3495</v>
      </c>
      <c r="AJ16" s="69">
        <f t="shared" ref="AJ16:AJ23" si="11">M16</f>
        <v>4380</v>
      </c>
      <c r="AK16" s="69">
        <v>4430</v>
      </c>
      <c r="AL16" s="69"/>
      <c r="AM16" s="69">
        <f t="shared" si="3"/>
        <v>3745</v>
      </c>
      <c r="AN16" s="63"/>
      <c r="AQ16" s="64"/>
    </row>
    <row r="17" spans="1:43" s="76" customFormat="1" ht="20.100000000000001" customHeight="1" x14ac:dyDescent="0.25">
      <c r="A17" s="78">
        <v>15</v>
      </c>
      <c r="B17" s="140"/>
      <c r="C17" s="79" t="s">
        <v>86</v>
      </c>
      <c r="D17" s="80" t="s">
        <v>99</v>
      </c>
      <c r="E17" s="79">
        <v>7.85</v>
      </c>
      <c r="F17" s="78">
        <v>3.75</v>
      </c>
      <c r="G17" s="78">
        <v>1510</v>
      </c>
      <c r="H17" s="78">
        <v>3000</v>
      </c>
      <c r="I17" s="78" t="s">
        <v>121</v>
      </c>
      <c r="J17" s="81">
        <f t="shared" si="0"/>
        <v>133.35187499999998</v>
      </c>
      <c r="K17" s="81" t="s">
        <v>9</v>
      </c>
      <c r="L17" s="63">
        <v>4180</v>
      </c>
      <c r="M17" s="69">
        <f t="shared" si="4"/>
        <v>4380</v>
      </c>
      <c r="N17" s="70">
        <v>3500</v>
      </c>
      <c r="O17" s="70">
        <v>3500</v>
      </c>
      <c r="P17" s="70">
        <v>3470</v>
      </c>
      <c r="Q17" s="70">
        <v>3510</v>
      </c>
      <c r="R17" s="70">
        <v>3550</v>
      </c>
      <c r="S17" s="70">
        <v>3510</v>
      </c>
      <c r="T17" s="70">
        <v>3510</v>
      </c>
      <c r="U17" s="70">
        <v>3510</v>
      </c>
      <c r="V17" s="70">
        <v>3510</v>
      </c>
      <c r="W17" s="70">
        <v>3510</v>
      </c>
      <c r="X17" s="70">
        <v>3510</v>
      </c>
      <c r="Y17" s="70">
        <v>3500</v>
      </c>
      <c r="Z17" s="70">
        <v>3480</v>
      </c>
      <c r="AA17" s="70">
        <v>3470</v>
      </c>
      <c r="AB17" s="70">
        <v>3470</v>
      </c>
      <c r="AC17" s="70">
        <v>3470</v>
      </c>
      <c r="AD17" s="70">
        <v>3490</v>
      </c>
      <c r="AE17" s="70">
        <v>3480</v>
      </c>
      <c r="AF17" s="70">
        <v>3480</v>
      </c>
      <c r="AG17" s="70">
        <v>3480</v>
      </c>
      <c r="AH17" s="70">
        <v>3490</v>
      </c>
      <c r="AI17" s="69">
        <f t="shared" si="1"/>
        <v>3495</v>
      </c>
      <c r="AJ17" s="69">
        <f t="shared" si="11"/>
        <v>4380</v>
      </c>
      <c r="AK17" s="69">
        <v>4430</v>
      </c>
      <c r="AL17" s="69"/>
      <c r="AM17" s="69">
        <f t="shared" si="3"/>
        <v>3745</v>
      </c>
      <c r="AN17" s="63"/>
      <c r="AQ17" s="64"/>
    </row>
    <row r="18" spans="1:43" s="76" customFormat="1" ht="20.100000000000001" customHeight="1" x14ac:dyDescent="0.25">
      <c r="A18" s="78">
        <v>16</v>
      </c>
      <c r="B18" s="140"/>
      <c r="C18" s="79" t="s">
        <v>87</v>
      </c>
      <c r="D18" s="80" t="s">
        <v>100</v>
      </c>
      <c r="E18" s="79">
        <v>7.85</v>
      </c>
      <c r="F18" s="78">
        <v>4.75</v>
      </c>
      <c r="G18" s="78">
        <v>1510</v>
      </c>
      <c r="H18" s="78">
        <v>3000</v>
      </c>
      <c r="I18" s="78" t="s">
        <v>121</v>
      </c>
      <c r="J18" s="81">
        <f t="shared" si="0"/>
        <v>168.91237499999997</v>
      </c>
      <c r="K18" s="81" t="s">
        <v>9</v>
      </c>
      <c r="L18" s="63">
        <v>4080</v>
      </c>
      <c r="M18" s="69">
        <f t="shared" si="4"/>
        <v>4280</v>
      </c>
      <c r="N18" s="70">
        <v>3450</v>
      </c>
      <c r="O18" s="70">
        <v>3450</v>
      </c>
      <c r="P18" s="70">
        <v>3420</v>
      </c>
      <c r="Q18" s="70">
        <v>3460</v>
      </c>
      <c r="R18" s="70">
        <v>3500</v>
      </c>
      <c r="S18" s="70">
        <v>3460</v>
      </c>
      <c r="T18" s="70">
        <v>3460</v>
      </c>
      <c r="U18" s="70">
        <v>3460</v>
      </c>
      <c r="V18" s="70">
        <v>3460</v>
      </c>
      <c r="W18" s="70">
        <v>3460</v>
      </c>
      <c r="X18" s="70">
        <v>3460</v>
      </c>
      <c r="Y18" s="70">
        <v>3450</v>
      </c>
      <c r="Z18" s="70">
        <v>3430</v>
      </c>
      <c r="AA18" s="70">
        <v>3420</v>
      </c>
      <c r="AB18" s="70">
        <v>3420</v>
      </c>
      <c r="AC18" s="70">
        <v>3420</v>
      </c>
      <c r="AD18" s="70">
        <v>3440</v>
      </c>
      <c r="AE18" s="70">
        <v>3430</v>
      </c>
      <c r="AF18" s="70">
        <v>3430</v>
      </c>
      <c r="AG18" s="70">
        <v>3430</v>
      </c>
      <c r="AH18" s="70">
        <v>3440</v>
      </c>
      <c r="AI18" s="69">
        <f t="shared" si="1"/>
        <v>3445</v>
      </c>
      <c r="AJ18" s="69">
        <f t="shared" si="11"/>
        <v>4280</v>
      </c>
      <c r="AK18" s="69">
        <v>4330</v>
      </c>
      <c r="AL18" s="69"/>
      <c r="AM18" s="69">
        <f t="shared" si="3"/>
        <v>3695</v>
      </c>
      <c r="AN18" s="63"/>
      <c r="AQ18" s="64"/>
    </row>
    <row r="19" spans="1:43" s="76" customFormat="1" ht="20.100000000000001" customHeight="1" x14ac:dyDescent="0.25">
      <c r="A19" s="78">
        <v>17</v>
      </c>
      <c r="B19" s="139" t="s">
        <v>115</v>
      </c>
      <c r="C19" s="79" t="s">
        <v>87</v>
      </c>
      <c r="D19" s="80" t="s">
        <v>101</v>
      </c>
      <c r="E19" s="79">
        <v>7.85</v>
      </c>
      <c r="F19" s="78">
        <v>5.75</v>
      </c>
      <c r="G19" s="78">
        <v>1510</v>
      </c>
      <c r="H19" s="78">
        <v>3000</v>
      </c>
      <c r="I19" s="78" t="s">
        <v>121</v>
      </c>
      <c r="J19" s="81">
        <f t="shared" si="0"/>
        <v>204.47287499999996</v>
      </c>
      <c r="K19" s="81" t="s">
        <v>9</v>
      </c>
      <c r="L19" s="63">
        <v>4080</v>
      </c>
      <c r="M19" s="69">
        <f t="shared" si="4"/>
        <v>4280</v>
      </c>
      <c r="N19" s="70">
        <v>3470</v>
      </c>
      <c r="O19" s="70">
        <v>3470</v>
      </c>
      <c r="P19" s="70">
        <v>3460</v>
      </c>
      <c r="Q19" s="70">
        <v>3490</v>
      </c>
      <c r="R19" s="70">
        <v>3510</v>
      </c>
      <c r="S19" s="70">
        <v>3470</v>
      </c>
      <c r="T19" s="70">
        <v>3470</v>
      </c>
      <c r="U19" s="70">
        <v>3470</v>
      </c>
      <c r="V19" s="70">
        <v>3470</v>
      </c>
      <c r="W19" s="70">
        <v>3460</v>
      </c>
      <c r="X19" s="70">
        <v>3470</v>
      </c>
      <c r="Y19" s="70">
        <v>3460</v>
      </c>
      <c r="Z19" s="70">
        <v>3440</v>
      </c>
      <c r="AA19" s="70">
        <v>3440</v>
      </c>
      <c r="AB19" s="70">
        <v>3440</v>
      </c>
      <c r="AC19" s="70">
        <v>3440</v>
      </c>
      <c r="AD19" s="70">
        <v>3440</v>
      </c>
      <c r="AE19" s="70">
        <v>3440</v>
      </c>
      <c r="AF19" s="70">
        <v>3440</v>
      </c>
      <c r="AG19" s="70">
        <v>3440</v>
      </c>
      <c r="AH19" s="70">
        <v>3440</v>
      </c>
      <c r="AI19" s="69">
        <f t="shared" si="1"/>
        <v>3459</v>
      </c>
      <c r="AJ19" s="69">
        <f t="shared" si="11"/>
        <v>4280</v>
      </c>
      <c r="AK19" s="69">
        <v>4280</v>
      </c>
      <c r="AL19" s="69"/>
      <c r="AM19" s="69">
        <f t="shared" si="3"/>
        <v>3709</v>
      </c>
      <c r="AN19" s="63"/>
      <c r="AQ19" s="64"/>
    </row>
    <row r="20" spans="1:43" s="76" customFormat="1" ht="20.100000000000001" customHeight="1" x14ac:dyDescent="0.25">
      <c r="A20" s="78">
        <v>18</v>
      </c>
      <c r="B20" s="140"/>
      <c r="C20" s="79" t="s">
        <v>87</v>
      </c>
      <c r="D20" s="80" t="s">
        <v>102</v>
      </c>
      <c r="E20" s="79">
        <v>7.85</v>
      </c>
      <c r="F20" s="78">
        <v>7.75</v>
      </c>
      <c r="G20" s="78">
        <v>1510</v>
      </c>
      <c r="H20" s="78">
        <v>3000</v>
      </c>
      <c r="I20" s="78" t="s">
        <v>121</v>
      </c>
      <c r="J20" s="81">
        <f t="shared" si="0"/>
        <v>275.59387499999997</v>
      </c>
      <c r="K20" s="81" t="s">
        <v>9</v>
      </c>
      <c r="L20" s="63">
        <v>4080</v>
      </c>
      <c r="M20" s="69">
        <f t="shared" si="4"/>
        <v>4280</v>
      </c>
      <c r="N20" s="70">
        <v>3470</v>
      </c>
      <c r="O20" s="70">
        <v>3470</v>
      </c>
      <c r="P20" s="70">
        <v>3460</v>
      </c>
      <c r="Q20" s="70">
        <v>3490</v>
      </c>
      <c r="R20" s="70">
        <v>3510</v>
      </c>
      <c r="S20" s="70">
        <v>3470</v>
      </c>
      <c r="T20" s="70">
        <v>3470</v>
      </c>
      <c r="U20" s="70">
        <v>3470</v>
      </c>
      <c r="V20" s="70">
        <v>3470</v>
      </c>
      <c r="W20" s="70">
        <v>3460</v>
      </c>
      <c r="X20" s="70">
        <v>3470</v>
      </c>
      <c r="Y20" s="70">
        <v>3460</v>
      </c>
      <c r="Z20" s="70">
        <v>3440</v>
      </c>
      <c r="AA20" s="70">
        <v>3440</v>
      </c>
      <c r="AB20" s="70">
        <v>3440</v>
      </c>
      <c r="AC20" s="70">
        <v>3440</v>
      </c>
      <c r="AD20" s="70">
        <v>3440</v>
      </c>
      <c r="AE20" s="70">
        <v>3440</v>
      </c>
      <c r="AF20" s="70">
        <v>3440</v>
      </c>
      <c r="AG20" s="70">
        <v>3440</v>
      </c>
      <c r="AH20" s="70">
        <v>3440</v>
      </c>
      <c r="AI20" s="69">
        <f t="shared" si="1"/>
        <v>3459</v>
      </c>
      <c r="AJ20" s="69">
        <f t="shared" si="11"/>
        <v>4280</v>
      </c>
      <c r="AK20" s="69">
        <v>4280</v>
      </c>
      <c r="AL20" s="69"/>
      <c r="AM20" s="69">
        <f t="shared" si="3"/>
        <v>3709</v>
      </c>
      <c r="AN20" s="63"/>
      <c r="AQ20" s="64"/>
    </row>
    <row r="21" spans="1:43" s="76" customFormat="1" ht="22.2" customHeight="1" x14ac:dyDescent="0.25">
      <c r="A21" s="78">
        <v>19</v>
      </c>
      <c r="B21" s="140"/>
      <c r="C21" s="79" t="s">
        <v>87</v>
      </c>
      <c r="D21" s="80" t="s">
        <v>103</v>
      </c>
      <c r="E21" s="79">
        <v>7.85</v>
      </c>
      <c r="F21" s="78">
        <v>9.75</v>
      </c>
      <c r="G21" s="78">
        <v>1510</v>
      </c>
      <c r="H21" s="78">
        <v>3000</v>
      </c>
      <c r="I21" s="78" t="s">
        <v>121</v>
      </c>
      <c r="J21" s="81">
        <f t="shared" si="0"/>
        <v>346.71487500000001</v>
      </c>
      <c r="K21" s="81" t="s">
        <v>9</v>
      </c>
      <c r="L21" s="63">
        <v>4080</v>
      </c>
      <c r="M21" s="69">
        <f t="shared" si="4"/>
        <v>4280</v>
      </c>
      <c r="N21" s="77">
        <f>N20</f>
        <v>3470</v>
      </c>
      <c r="O21" s="77">
        <f t="shared" ref="O21:AH21" si="12">O20</f>
        <v>3470</v>
      </c>
      <c r="P21" s="77">
        <f>P20</f>
        <v>3460</v>
      </c>
      <c r="Q21" s="77">
        <f t="shared" si="12"/>
        <v>3490</v>
      </c>
      <c r="R21" s="77">
        <f t="shared" si="12"/>
        <v>3510</v>
      </c>
      <c r="S21" s="77">
        <f t="shared" si="12"/>
        <v>3470</v>
      </c>
      <c r="T21" s="77">
        <f t="shared" si="12"/>
        <v>3470</v>
      </c>
      <c r="U21" s="77">
        <f t="shared" si="12"/>
        <v>3470</v>
      </c>
      <c r="V21" s="77">
        <f t="shared" si="12"/>
        <v>3470</v>
      </c>
      <c r="W21" s="77">
        <f t="shared" si="12"/>
        <v>3460</v>
      </c>
      <c r="X21" s="77">
        <f t="shared" si="12"/>
        <v>3470</v>
      </c>
      <c r="Y21" s="77">
        <f t="shared" si="12"/>
        <v>3460</v>
      </c>
      <c r="Z21" s="77">
        <f t="shared" si="12"/>
        <v>3440</v>
      </c>
      <c r="AA21" s="77">
        <f t="shared" si="12"/>
        <v>3440</v>
      </c>
      <c r="AB21" s="77">
        <f t="shared" si="12"/>
        <v>3440</v>
      </c>
      <c r="AC21" s="77">
        <f t="shared" si="12"/>
        <v>3440</v>
      </c>
      <c r="AD21" s="77">
        <f t="shared" si="12"/>
        <v>3440</v>
      </c>
      <c r="AE21" s="77">
        <f t="shared" si="12"/>
        <v>3440</v>
      </c>
      <c r="AF21" s="77">
        <f t="shared" si="12"/>
        <v>3440</v>
      </c>
      <c r="AG21" s="77">
        <f t="shared" si="12"/>
        <v>3440</v>
      </c>
      <c r="AH21" s="77">
        <f t="shared" si="12"/>
        <v>3440</v>
      </c>
      <c r="AI21" s="69">
        <f t="shared" si="1"/>
        <v>3459</v>
      </c>
      <c r="AJ21" s="69">
        <f t="shared" si="11"/>
        <v>4280</v>
      </c>
      <c r="AK21" s="69">
        <v>4350</v>
      </c>
      <c r="AL21" s="69"/>
      <c r="AM21" s="69">
        <f t="shared" si="3"/>
        <v>3709</v>
      </c>
      <c r="AN21" s="131" t="s">
        <v>106</v>
      </c>
      <c r="AQ21" s="64"/>
    </row>
    <row r="22" spans="1:43" s="76" customFormat="1" ht="22.2" customHeight="1" x14ac:dyDescent="0.25">
      <c r="A22" s="78">
        <v>20</v>
      </c>
      <c r="B22" s="140"/>
      <c r="C22" s="79" t="s">
        <v>87</v>
      </c>
      <c r="D22" s="80"/>
      <c r="E22" s="79">
        <v>7.85</v>
      </c>
      <c r="F22" s="78">
        <v>11.75</v>
      </c>
      <c r="G22" s="78">
        <v>2500</v>
      </c>
      <c r="H22" s="78">
        <v>12000</v>
      </c>
      <c r="I22" s="78" t="s">
        <v>104</v>
      </c>
      <c r="J22" s="81">
        <f t="shared" si="0"/>
        <v>2767.1249999999995</v>
      </c>
      <c r="K22" s="81" t="s">
        <v>9</v>
      </c>
      <c r="L22" s="63">
        <v>4150</v>
      </c>
      <c r="M22" s="69">
        <f t="shared" si="4"/>
        <v>4350</v>
      </c>
      <c r="N22" s="77">
        <f>N21+70</f>
        <v>3540</v>
      </c>
      <c r="O22" s="77">
        <f t="shared" ref="O22:AH22" si="13">O21+70</f>
        <v>3540</v>
      </c>
      <c r="P22" s="77">
        <f>P21+70</f>
        <v>3530</v>
      </c>
      <c r="Q22" s="77">
        <f>Q21+70</f>
        <v>3560</v>
      </c>
      <c r="R22" s="77">
        <f t="shared" si="13"/>
        <v>3580</v>
      </c>
      <c r="S22" s="77">
        <f t="shared" si="13"/>
        <v>3540</v>
      </c>
      <c r="T22" s="77">
        <f t="shared" si="13"/>
        <v>3540</v>
      </c>
      <c r="U22" s="77">
        <f t="shared" si="13"/>
        <v>3540</v>
      </c>
      <c r="V22" s="77">
        <f t="shared" si="13"/>
        <v>3540</v>
      </c>
      <c r="W22" s="77">
        <f t="shared" si="13"/>
        <v>3530</v>
      </c>
      <c r="X22" s="77">
        <f t="shared" si="13"/>
        <v>3540</v>
      </c>
      <c r="Y22" s="77">
        <f t="shared" si="13"/>
        <v>3530</v>
      </c>
      <c r="Z22" s="77">
        <f t="shared" si="13"/>
        <v>3510</v>
      </c>
      <c r="AA22" s="77">
        <f t="shared" si="13"/>
        <v>3510</v>
      </c>
      <c r="AB22" s="77">
        <f t="shared" si="13"/>
        <v>3510</v>
      </c>
      <c r="AC22" s="77">
        <f t="shared" si="13"/>
        <v>3510</v>
      </c>
      <c r="AD22" s="77">
        <f t="shared" si="13"/>
        <v>3510</v>
      </c>
      <c r="AE22" s="77">
        <f t="shared" si="13"/>
        <v>3510</v>
      </c>
      <c r="AF22" s="77">
        <f t="shared" si="13"/>
        <v>3510</v>
      </c>
      <c r="AG22" s="77">
        <f t="shared" si="13"/>
        <v>3510</v>
      </c>
      <c r="AH22" s="77">
        <f t="shared" si="13"/>
        <v>3510</v>
      </c>
      <c r="AI22" s="69">
        <f t="shared" si="1"/>
        <v>3529</v>
      </c>
      <c r="AJ22" s="69">
        <f t="shared" si="11"/>
        <v>4350</v>
      </c>
      <c r="AK22" s="69">
        <v>4350</v>
      </c>
      <c r="AL22" s="69"/>
      <c r="AM22" s="69">
        <f t="shared" si="3"/>
        <v>3779</v>
      </c>
      <c r="AN22" s="131"/>
    </row>
    <row r="23" spans="1:43" ht="45" x14ac:dyDescent="0.25">
      <c r="A23" s="82">
        <v>21</v>
      </c>
      <c r="B23" s="83" t="s">
        <v>130</v>
      </c>
      <c r="C23" s="84" t="s">
        <v>87</v>
      </c>
      <c r="D23" s="85"/>
      <c r="E23" s="84">
        <v>7.85</v>
      </c>
      <c r="F23" s="86">
        <v>15.75</v>
      </c>
      <c r="G23" s="86">
        <v>2500</v>
      </c>
      <c r="H23" s="86">
        <v>12000</v>
      </c>
      <c r="I23" s="86" t="s">
        <v>104</v>
      </c>
      <c r="J23" s="87">
        <f t="shared" si="0"/>
        <v>3709.125</v>
      </c>
      <c r="K23" s="87" t="s">
        <v>9</v>
      </c>
      <c r="L23" s="63">
        <v>4150</v>
      </c>
      <c r="M23" s="69">
        <f t="shared" si="4"/>
        <v>4350</v>
      </c>
      <c r="N23" s="70">
        <v>3490</v>
      </c>
      <c r="O23" s="70">
        <v>3490</v>
      </c>
      <c r="P23" s="70">
        <v>3480</v>
      </c>
      <c r="Q23" s="70">
        <v>3490</v>
      </c>
      <c r="R23" s="70">
        <v>3500</v>
      </c>
      <c r="S23" s="70">
        <v>3500</v>
      </c>
      <c r="T23" s="70">
        <v>3500</v>
      </c>
      <c r="U23" s="70">
        <v>3510</v>
      </c>
      <c r="V23" s="70">
        <v>3510</v>
      </c>
      <c r="W23" s="70">
        <v>3510</v>
      </c>
      <c r="X23" s="70">
        <v>3510</v>
      </c>
      <c r="Y23" s="70">
        <v>3510</v>
      </c>
      <c r="Z23" s="70">
        <v>3500</v>
      </c>
      <c r="AA23" s="70">
        <v>3500</v>
      </c>
      <c r="AB23" s="70">
        <v>3500</v>
      </c>
      <c r="AC23" s="70">
        <v>3500</v>
      </c>
      <c r="AD23" s="70">
        <v>3500</v>
      </c>
      <c r="AE23" s="70">
        <v>3500</v>
      </c>
      <c r="AF23" s="70">
        <v>3490</v>
      </c>
      <c r="AG23" s="70">
        <v>3490</v>
      </c>
      <c r="AH23" s="70">
        <v>3490</v>
      </c>
      <c r="AI23" s="69">
        <f t="shared" si="1"/>
        <v>3499</v>
      </c>
      <c r="AJ23" s="69">
        <f t="shared" si="11"/>
        <v>4350</v>
      </c>
      <c r="AK23" s="69"/>
      <c r="AL23" s="69"/>
      <c r="AM23" s="69">
        <f>AI23+AL23+250</f>
        <v>3749</v>
      </c>
      <c r="AN23" s="88"/>
    </row>
    <row r="24" spans="1:43" ht="20.100000000000001" customHeight="1" x14ac:dyDescent="0.25"/>
    <row r="25" spans="1:43" ht="20.100000000000001" customHeight="1" x14ac:dyDescent="0.25">
      <c r="AF25" s="54" t="s">
        <v>116</v>
      </c>
    </row>
    <row r="26" spans="1:43" ht="20.100000000000001" customHeight="1" x14ac:dyDescent="0.25"/>
    <row r="27" spans="1:43" ht="20.100000000000001" customHeight="1" x14ac:dyDescent="0.25"/>
    <row r="28" spans="1:43" ht="20.100000000000001" customHeight="1" x14ac:dyDescent="0.25"/>
    <row r="37" spans="4:54" s="52" customFormat="1" x14ac:dyDescent="0.25">
      <c r="D37" s="89"/>
      <c r="E37" s="90"/>
      <c r="F37" s="90"/>
      <c r="G37" s="90"/>
      <c r="H37" s="90"/>
      <c r="M37" s="53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3"/>
      <c r="AJ37" s="53"/>
      <c r="AK37" s="53"/>
      <c r="AL37" s="53"/>
      <c r="AM37" s="53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</row>
  </sheetData>
  <mergeCells count="6">
    <mergeCell ref="AN21:AN22"/>
    <mergeCell ref="A1:K1"/>
    <mergeCell ref="B3:B10"/>
    <mergeCell ref="B11:B15"/>
    <mergeCell ref="B16:B18"/>
    <mergeCell ref="B19:B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2654-81BF-437F-8A48-62F25DA4FBE0}">
  <sheetPr>
    <pageSetUpPr fitToPage="1"/>
  </sheetPr>
  <dimension ref="A1:AW37"/>
  <sheetViews>
    <sheetView workbookViewId="0">
      <pane xSplit="13" ySplit="2" topLeftCell="N13" activePane="bottomRight" state="frozen"/>
      <selection activeCell="W8" sqref="W8"/>
      <selection pane="topRight" activeCell="W8" sqref="W8"/>
      <selection pane="bottomLeft" activeCell="W8" sqref="W8"/>
      <selection pane="bottomRight" sqref="A1:K1"/>
    </sheetView>
  </sheetViews>
  <sheetFormatPr defaultColWidth="9" defaultRowHeight="17.399999999999999" x14ac:dyDescent="0.25"/>
  <cols>
    <col min="1" max="1" width="5.69921875" style="52" customWidth="1"/>
    <col min="2" max="2" width="15.5" style="52" customWidth="1"/>
    <col min="3" max="3" width="11.5" style="52" customWidth="1"/>
    <col min="4" max="4" width="12.69921875" style="89" customWidth="1"/>
    <col min="5" max="5" width="9.59765625" style="90" customWidth="1"/>
    <col min="6" max="6" width="9.09765625" style="90" customWidth="1"/>
    <col min="7" max="7" width="7.19921875" style="90" customWidth="1"/>
    <col min="8" max="8" width="7.69921875" style="90" customWidth="1"/>
    <col min="9" max="9" width="11.3984375" style="52" customWidth="1"/>
    <col min="10" max="10" width="7.3984375" style="52" customWidth="1"/>
    <col min="11" max="11" width="8.3984375" style="52" customWidth="1"/>
    <col min="12" max="12" width="9.8984375" style="52" customWidth="1"/>
    <col min="13" max="13" width="9.5" style="53" customWidth="1"/>
    <col min="14" max="19" width="8.5" style="54" customWidth="1"/>
    <col min="20" max="29" width="9.5" style="54" customWidth="1"/>
    <col min="30" max="30" width="13.8984375" style="53" bestFit="1" customWidth="1"/>
    <col min="31" max="31" width="9.5" style="53" hidden="1" customWidth="1"/>
    <col min="32" max="32" width="11.59765625" style="53" hidden="1" customWidth="1"/>
    <col min="33" max="33" width="5.5" style="53" hidden="1" customWidth="1"/>
    <col min="34" max="34" width="9.5" style="53" bestFit="1" customWidth="1"/>
    <col min="35" max="35" width="22.5" style="52" customWidth="1"/>
    <col min="36" max="16384" width="9" style="55"/>
  </cols>
  <sheetData>
    <row r="1" spans="1:38" ht="45" customHeight="1" x14ac:dyDescent="0.25">
      <c r="A1" s="132" t="s">
        <v>127</v>
      </c>
      <c r="B1" s="133"/>
      <c r="C1" s="134"/>
      <c r="D1" s="134"/>
      <c r="E1" s="134"/>
      <c r="F1" s="134"/>
      <c r="G1" s="134"/>
      <c r="H1" s="134"/>
      <c r="I1" s="134"/>
      <c r="J1" s="134"/>
      <c r="K1" s="134"/>
    </row>
    <row r="2" spans="1:38" s="64" customFormat="1" ht="52.2" x14ac:dyDescent="0.25">
      <c r="A2" s="56" t="s">
        <v>78</v>
      </c>
      <c r="B2" s="57" t="s">
        <v>117</v>
      </c>
      <c r="C2" s="56" t="s">
        <v>3</v>
      </c>
      <c r="D2" s="58" t="s">
        <v>88</v>
      </c>
      <c r="E2" s="57" t="s">
        <v>79</v>
      </c>
      <c r="F2" s="57" t="s">
        <v>80</v>
      </c>
      <c r="G2" s="57" t="s">
        <v>81</v>
      </c>
      <c r="H2" s="57" t="s">
        <v>82</v>
      </c>
      <c r="I2" s="59" t="s">
        <v>83</v>
      </c>
      <c r="J2" s="59" t="s">
        <v>84</v>
      </c>
      <c r="K2" s="56" t="s">
        <v>5</v>
      </c>
      <c r="L2" s="60" t="s">
        <v>118</v>
      </c>
      <c r="M2" s="61" t="s">
        <v>119</v>
      </c>
      <c r="N2" s="62">
        <v>46055</v>
      </c>
      <c r="O2" s="62">
        <v>46056</v>
      </c>
      <c r="P2" s="62">
        <v>46057</v>
      </c>
      <c r="Q2" s="62">
        <v>46058</v>
      </c>
      <c r="R2" s="62">
        <v>46059</v>
      </c>
      <c r="S2" s="62">
        <v>46062</v>
      </c>
      <c r="T2" s="62">
        <v>46063</v>
      </c>
      <c r="U2" s="62">
        <v>46064</v>
      </c>
      <c r="V2" s="62">
        <v>46065</v>
      </c>
      <c r="W2" s="62">
        <v>46066</v>
      </c>
      <c r="X2" s="62">
        <v>46067</v>
      </c>
      <c r="Y2" s="62">
        <v>46077</v>
      </c>
      <c r="Z2" s="62">
        <v>46078</v>
      </c>
      <c r="AA2" s="62">
        <v>46079</v>
      </c>
      <c r="AB2" s="62">
        <v>46080</v>
      </c>
      <c r="AC2" s="62">
        <v>46081</v>
      </c>
      <c r="AD2" s="61" t="s">
        <v>131</v>
      </c>
      <c r="AE2" s="61" t="s">
        <v>112</v>
      </c>
      <c r="AF2" s="61" t="s">
        <v>120</v>
      </c>
      <c r="AG2" s="61" t="s">
        <v>124</v>
      </c>
      <c r="AH2" s="61" t="s">
        <v>132</v>
      </c>
      <c r="AI2" s="63" t="s">
        <v>105</v>
      </c>
    </row>
    <row r="3" spans="1:38" s="64" customFormat="1" ht="20.100000000000001" customHeight="1" x14ac:dyDescent="0.25">
      <c r="A3" s="65">
        <v>1</v>
      </c>
      <c r="B3" s="135" t="s">
        <v>110</v>
      </c>
      <c r="C3" s="66" t="s">
        <v>85</v>
      </c>
      <c r="D3" s="67" t="s">
        <v>89</v>
      </c>
      <c r="E3" s="66">
        <v>7.85</v>
      </c>
      <c r="F3" s="65">
        <v>2.5</v>
      </c>
      <c r="G3" s="65">
        <v>1510</v>
      </c>
      <c r="H3" s="65">
        <v>3000</v>
      </c>
      <c r="I3" s="65" t="s">
        <v>122</v>
      </c>
      <c r="J3" s="68">
        <f t="shared" ref="J3:J23" si="0">F3/1000*G3/1000*H3/1000*E3*1000</f>
        <v>88.901250000000005</v>
      </c>
      <c r="K3" s="68" t="s">
        <v>9</v>
      </c>
      <c r="L3" s="63">
        <v>4000</v>
      </c>
      <c r="M3" s="69">
        <f>L3+200</f>
        <v>4200</v>
      </c>
      <c r="N3" s="70">
        <v>3450</v>
      </c>
      <c r="O3" s="70">
        <v>3450</v>
      </c>
      <c r="P3" s="70">
        <v>3440</v>
      </c>
      <c r="Q3" s="70">
        <v>3440</v>
      </c>
      <c r="R3" s="70">
        <v>3430</v>
      </c>
      <c r="S3" s="70">
        <v>3430</v>
      </c>
      <c r="T3" s="70">
        <v>3420</v>
      </c>
      <c r="U3" s="70">
        <v>3420</v>
      </c>
      <c r="V3" s="70">
        <v>3420</v>
      </c>
      <c r="W3" s="70">
        <v>3420</v>
      </c>
      <c r="X3" s="70">
        <v>3420</v>
      </c>
      <c r="Y3" s="70">
        <v>3400</v>
      </c>
      <c r="Z3" s="70">
        <v>3390</v>
      </c>
      <c r="AA3" s="70">
        <v>3410</v>
      </c>
      <c r="AB3" s="70">
        <v>3390</v>
      </c>
      <c r="AC3" s="70">
        <v>3400</v>
      </c>
      <c r="AD3" s="69">
        <f t="shared" ref="AD3:AD23" si="1">ROUND(AVERAGE(N3:AC3),0)</f>
        <v>3421</v>
      </c>
      <c r="AE3" s="69">
        <f t="shared" ref="AE3:AE14" si="2">M3</f>
        <v>4200</v>
      </c>
      <c r="AF3" s="69">
        <v>4230</v>
      </c>
      <c r="AG3" s="69"/>
      <c r="AH3" s="69">
        <f>AD3+AG3+250</f>
        <v>3671</v>
      </c>
      <c r="AI3" s="63"/>
    </row>
    <row r="4" spans="1:38" s="64" customFormat="1" ht="20.100000000000001" customHeight="1" x14ac:dyDescent="0.25">
      <c r="A4" s="65">
        <v>2</v>
      </c>
      <c r="B4" s="136"/>
      <c r="C4" s="66" t="s">
        <v>85</v>
      </c>
      <c r="D4" s="67" t="s">
        <v>97</v>
      </c>
      <c r="E4" s="66">
        <v>7.85</v>
      </c>
      <c r="F4" s="65">
        <v>3</v>
      </c>
      <c r="G4" s="65">
        <v>1500</v>
      </c>
      <c r="H4" s="65">
        <v>3000</v>
      </c>
      <c r="I4" s="65" t="s">
        <v>122</v>
      </c>
      <c r="J4" s="68">
        <f t="shared" si="0"/>
        <v>105.97499999999998</v>
      </c>
      <c r="K4" s="68" t="s">
        <v>9</v>
      </c>
      <c r="L4" s="63">
        <v>3940</v>
      </c>
      <c r="M4" s="69">
        <f>L4+200</f>
        <v>4140</v>
      </c>
      <c r="N4" s="70">
        <v>3430</v>
      </c>
      <c r="O4" s="70">
        <v>3430</v>
      </c>
      <c r="P4" s="70">
        <v>3420</v>
      </c>
      <c r="Q4" s="70">
        <v>3420</v>
      </c>
      <c r="R4" s="70">
        <v>3410</v>
      </c>
      <c r="S4" s="70">
        <v>3410</v>
      </c>
      <c r="T4" s="70">
        <v>3400</v>
      </c>
      <c r="U4" s="70">
        <v>3400</v>
      </c>
      <c r="V4" s="70">
        <v>3400</v>
      </c>
      <c r="W4" s="70">
        <v>3400</v>
      </c>
      <c r="X4" s="70">
        <v>3400</v>
      </c>
      <c r="Y4" s="70">
        <v>3380</v>
      </c>
      <c r="Z4" s="70">
        <v>3370</v>
      </c>
      <c r="AA4" s="70">
        <v>3390</v>
      </c>
      <c r="AB4" s="70">
        <v>3370</v>
      </c>
      <c r="AC4" s="70">
        <v>3380</v>
      </c>
      <c r="AD4" s="69">
        <f t="shared" si="1"/>
        <v>3401</v>
      </c>
      <c r="AE4" s="69">
        <f t="shared" si="2"/>
        <v>4140</v>
      </c>
      <c r="AF4" s="69">
        <v>4180</v>
      </c>
      <c r="AG4" s="69"/>
      <c r="AH4" s="69">
        <f t="shared" ref="AH4:AH22" si="3">AD4+AG4+250</f>
        <v>3651</v>
      </c>
      <c r="AI4" s="63"/>
    </row>
    <row r="5" spans="1:38" s="64" customFormat="1" ht="20.100000000000001" customHeight="1" x14ac:dyDescent="0.25">
      <c r="A5" s="65">
        <v>3</v>
      </c>
      <c r="B5" s="136"/>
      <c r="C5" s="66" t="s">
        <v>85</v>
      </c>
      <c r="D5" s="67" t="s">
        <v>90</v>
      </c>
      <c r="E5" s="66">
        <v>7.85</v>
      </c>
      <c r="F5" s="65">
        <v>4</v>
      </c>
      <c r="G5" s="65">
        <v>1510</v>
      </c>
      <c r="H5" s="65">
        <v>3000</v>
      </c>
      <c r="I5" s="65" t="s">
        <v>122</v>
      </c>
      <c r="J5" s="68">
        <f t="shared" si="0"/>
        <v>142.24200000000002</v>
      </c>
      <c r="K5" s="68" t="s">
        <v>9</v>
      </c>
      <c r="L5" s="63">
        <v>3930</v>
      </c>
      <c r="M5" s="69">
        <f t="shared" ref="M5:M23" si="4">L5+200</f>
        <v>4130</v>
      </c>
      <c r="N5" s="70">
        <v>3350</v>
      </c>
      <c r="O5" s="70">
        <v>3350</v>
      </c>
      <c r="P5" s="70">
        <v>3340</v>
      </c>
      <c r="Q5" s="70">
        <v>3340</v>
      </c>
      <c r="R5" s="70">
        <v>3330</v>
      </c>
      <c r="S5" s="70">
        <v>3330</v>
      </c>
      <c r="T5" s="70">
        <v>3320</v>
      </c>
      <c r="U5" s="70">
        <v>3320</v>
      </c>
      <c r="V5" s="70">
        <v>3320</v>
      </c>
      <c r="W5" s="70">
        <v>3320</v>
      </c>
      <c r="X5" s="70">
        <v>3320</v>
      </c>
      <c r="Y5" s="70">
        <v>3300</v>
      </c>
      <c r="Z5" s="70">
        <v>3290</v>
      </c>
      <c r="AA5" s="70">
        <v>3310</v>
      </c>
      <c r="AB5" s="70">
        <v>3290</v>
      </c>
      <c r="AC5" s="70">
        <v>3300</v>
      </c>
      <c r="AD5" s="69">
        <f t="shared" si="1"/>
        <v>3321</v>
      </c>
      <c r="AE5" s="69">
        <f t="shared" si="2"/>
        <v>4130</v>
      </c>
      <c r="AF5" s="69">
        <v>4160</v>
      </c>
      <c r="AG5" s="69"/>
      <c r="AH5" s="69">
        <f t="shared" si="3"/>
        <v>3571</v>
      </c>
      <c r="AI5" s="63"/>
    </row>
    <row r="6" spans="1:38" s="64" customFormat="1" ht="20.100000000000001" customHeight="1" x14ac:dyDescent="0.25">
      <c r="A6" s="65">
        <v>4</v>
      </c>
      <c r="B6" s="136"/>
      <c r="C6" s="66" t="s">
        <v>85</v>
      </c>
      <c r="D6" s="67" t="s">
        <v>91</v>
      </c>
      <c r="E6" s="66">
        <v>7.85</v>
      </c>
      <c r="F6" s="65">
        <v>4.75</v>
      </c>
      <c r="G6" s="65">
        <v>1510</v>
      </c>
      <c r="H6" s="65">
        <v>3000</v>
      </c>
      <c r="I6" s="65" t="s">
        <v>122</v>
      </c>
      <c r="J6" s="68">
        <f t="shared" si="0"/>
        <v>168.91237499999997</v>
      </c>
      <c r="K6" s="68" t="s">
        <v>9</v>
      </c>
      <c r="L6" s="63">
        <v>3860</v>
      </c>
      <c r="M6" s="69">
        <f t="shared" si="4"/>
        <v>4060</v>
      </c>
      <c r="N6" s="71">
        <v>3310</v>
      </c>
      <c r="O6" s="71">
        <v>3310</v>
      </c>
      <c r="P6" s="71">
        <v>3300</v>
      </c>
      <c r="Q6" s="71">
        <v>3300</v>
      </c>
      <c r="R6" s="71">
        <v>3290</v>
      </c>
      <c r="S6" s="71">
        <v>3290</v>
      </c>
      <c r="T6" s="71">
        <v>3280</v>
      </c>
      <c r="U6" s="71">
        <v>3280</v>
      </c>
      <c r="V6" s="71">
        <v>3280</v>
      </c>
      <c r="W6" s="71">
        <v>3280</v>
      </c>
      <c r="X6" s="71">
        <v>3280</v>
      </c>
      <c r="Y6" s="71">
        <v>3260</v>
      </c>
      <c r="Z6" s="71">
        <v>3250</v>
      </c>
      <c r="AA6" s="71">
        <v>3270</v>
      </c>
      <c r="AB6" s="71">
        <v>3250</v>
      </c>
      <c r="AC6" s="71">
        <v>3260</v>
      </c>
      <c r="AD6" s="69">
        <f t="shared" si="1"/>
        <v>3281</v>
      </c>
      <c r="AE6" s="69">
        <f t="shared" si="2"/>
        <v>4060</v>
      </c>
      <c r="AF6" s="69">
        <v>4090</v>
      </c>
      <c r="AG6" s="69"/>
      <c r="AH6" s="69">
        <f>AD6+AG6+250</f>
        <v>3531</v>
      </c>
      <c r="AI6" s="63"/>
    </row>
    <row r="7" spans="1:38" s="64" customFormat="1" ht="20.100000000000001" customHeight="1" x14ac:dyDescent="0.25">
      <c r="A7" s="65">
        <v>5</v>
      </c>
      <c r="B7" s="136"/>
      <c r="C7" s="66" t="s">
        <v>85</v>
      </c>
      <c r="D7" s="67" t="s">
        <v>92</v>
      </c>
      <c r="E7" s="66">
        <v>7.85</v>
      </c>
      <c r="F7" s="65">
        <v>5.75</v>
      </c>
      <c r="G7" s="65">
        <v>1510</v>
      </c>
      <c r="H7" s="65">
        <v>3000</v>
      </c>
      <c r="I7" s="65" t="s">
        <v>122</v>
      </c>
      <c r="J7" s="68">
        <f t="shared" si="0"/>
        <v>204.47287499999996</v>
      </c>
      <c r="K7" s="68" t="s">
        <v>9</v>
      </c>
      <c r="L7" s="63">
        <v>3860</v>
      </c>
      <c r="M7" s="69">
        <f t="shared" si="4"/>
        <v>4060</v>
      </c>
      <c r="N7" s="71">
        <f>N6</f>
        <v>3310</v>
      </c>
      <c r="O7" s="71">
        <f t="shared" ref="O7:AC7" si="5">O6</f>
        <v>3310</v>
      </c>
      <c r="P7" s="71">
        <f t="shared" si="5"/>
        <v>3300</v>
      </c>
      <c r="Q7" s="71">
        <f t="shared" si="5"/>
        <v>3300</v>
      </c>
      <c r="R7" s="71">
        <f t="shared" si="5"/>
        <v>3290</v>
      </c>
      <c r="S7" s="71">
        <f t="shared" si="5"/>
        <v>3290</v>
      </c>
      <c r="T7" s="71">
        <f t="shared" si="5"/>
        <v>3280</v>
      </c>
      <c r="U7" s="71">
        <f t="shared" si="5"/>
        <v>3280</v>
      </c>
      <c r="V7" s="71">
        <f t="shared" si="5"/>
        <v>3280</v>
      </c>
      <c r="W7" s="71">
        <f t="shared" si="5"/>
        <v>3280</v>
      </c>
      <c r="X7" s="71">
        <f t="shared" si="5"/>
        <v>3280</v>
      </c>
      <c r="Y7" s="71">
        <f t="shared" si="5"/>
        <v>3260</v>
      </c>
      <c r="Z7" s="71">
        <f t="shared" si="5"/>
        <v>3250</v>
      </c>
      <c r="AA7" s="71">
        <f t="shared" si="5"/>
        <v>3270</v>
      </c>
      <c r="AB7" s="71">
        <f t="shared" si="5"/>
        <v>3250</v>
      </c>
      <c r="AC7" s="71">
        <f t="shared" si="5"/>
        <v>3260</v>
      </c>
      <c r="AD7" s="69">
        <f t="shared" si="1"/>
        <v>3281</v>
      </c>
      <c r="AE7" s="69">
        <f t="shared" si="2"/>
        <v>4060</v>
      </c>
      <c r="AF7" s="69">
        <v>4090</v>
      </c>
      <c r="AG7" s="69"/>
      <c r="AH7" s="69">
        <f t="shared" si="3"/>
        <v>3531</v>
      </c>
      <c r="AI7" s="63"/>
    </row>
    <row r="8" spans="1:38" s="64" customFormat="1" ht="20.100000000000001" customHeight="1" x14ac:dyDescent="0.25">
      <c r="A8" s="65">
        <v>6</v>
      </c>
      <c r="B8" s="136"/>
      <c r="C8" s="66" t="s">
        <v>85</v>
      </c>
      <c r="D8" s="67" t="s">
        <v>93</v>
      </c>
      <c r="E8" s="66">
        <v>7.85</v>
      </c>
      <c r="F8" s="65">
        <v>7.75</v>
      </c>
      <c r="G8" s="65">
        <v>1510</v>
      </c>
      <c r="H8" s="65">
        <v>3000</v>
      </c>
      <c r="I8" s="65" t="s">
        <v>122</v>
      </c>
      <c r="J8" s="68">
        <f t="shared" si="0"/>
        <v>275.59387499999997</v>
      </c>
      <c r="K8" s="68" t="s">
        <v>9</v>
      </c>
      <c r="L8" s="63">
        <v>3860</v>
      </c>
      <c r="M8" s="69">
        <f t="shared" si="4"/>
        <v>4060</v>
      </c>
      <c r="N8" s="71">
        <f>N6</f>
        <v>3310</v>
      </c>
      <c r="O8" s="71">
        <f t="shared" ref="O8:AC8" si="6">O6</f>
        <v>3310</v>
      </c>
      <c r="P8" s="71">
        <f t="shared" si="6"/>
        <v>3300</v>
      </c>
      <c r="Q8" s="71">
        <f t="shared" si="6"/>
        <v>3300</v>
      </c>
      <c r="R8" s="71">
        <f t="shared" si="6"/>
        <v>3290</v>
      </c>
      <c r="S8" s="71">
        <f t="shared" si="6"/>
        <v>3290</v>
      </c>
      <c r="T8" s="71">
        <f t="shared" si="6"/>
        <v>3280</v>
      </c>
      <c r="U8" s="71">
        <f t="shared" si="6"/>
        <v>3280</v>
      </c>
      <c r="V8" s="71">
        <f t="shared" si="6"/>
        <v>3280</v>
      </c>
      <c r="W8" s="71">
        <f t="shared" si="6"/>
        <v>3280</v>
      </c>
      <c r="X8" s="71">
        <f t="shared" si="6"/>
        <v>3280</v>
      </c>
      <c r="Y8" s="71">
        <f t="shared" si="6"/>
        <v>3260</v>
      </c>
      <c r="Z8" s="71">
        <f t="shared" si="6"/>
        <v>3250</v>
      </c>
      <c r="AA8" s="71">
        <f t="shared" si="6"/>
        <v>3270</v>
      </c>
      <c r="AB8" s="71">
        <f t="shared" si="6"/>
        <v>3250</v>
      </c>
      <c r="AC8" s="71">
        <f t="shared" si="6"/>
        <v>3260</v>
      </c>
      <c r="AD8" s="69">
        <f t="shared" si="1"/>
        <v>3281</v>
      </c>
      <c r="AE8" s="69">
        <f t="shared" si="2"/>
        <v>4060</v>
      </c>
      <c r="AF8" s="69">
        <v>4090</v>
      </c>
      <c r="AG8" s="69"/>
      <c r="AH8" s="69">
        <f t="shared" si="3"/>
        <v>3531</v>
      </c>
      <c r="AI8" s="63"/>
    </row>
    <row r="9" spans="1:38" s="64" customFormat="1" ht="20.100000000000001" customHeight="1" x14ac:dyDescent="0.25">
      <c r="A9" s="65">
        <v>7</v>
      </c>
      <c r="B9" s="136"/>
      <c r="C9" s="66" t="s">
        <v>85</v>
      </c>
      <c r="D9" s="67" t="s">
        <v>94</v>
      </c>
      <c r="E9" s="66">
        <v>7.85</v>
      </c>
      <c r="F9" s="65">
        <v>9.75</v>
      </c>
      <c r="G9" s="65">
        <v>1510</v>
      </c>
      <c r="H9" s="65">
        <v>3000</v>
      </c>
      <c r="I9" s="65" t="s">
        <v>122</v>
      </c>
      <c r="J9" s="68">
        <f t="shared" si="0"/>
        <v>346.71487500000001</v>
      </c>
      <c r="K9" s="68" t="s">
        <v>9</v>
      </c>
      <c r="L9" s="63">
        <v>3860</v>
      </c>
      <c r="M9" s="69">
        <f t="shared" si="4"/>
        <v>4060</v>
      </c>
      <c r="N9" s="71">
        <f>N6</f>
        <v>3310</v>
      </c>
      <c r="O9" s="71">
        <f t="shared" ref="O9:AC9" si="7">O6</f>
        <v>3310</v>
      </c>
      <c r="P9" s="71">
        <f t="shared" si="7"/>
        <v>3300</v>
      </c>
      <c r="Q9" s="71">
        <f t="shared" si="7"/>
        <v>3300</v>
      </c>
      <c r="R9" s="71">
        <f t="shared" si="7"/>
        <v>3290</v>
      </c>
      <c r="S9" s="71">
        <f t="shared" si="7"/>
        <v>3290</v>
      </c>
      <c r="T9" s="71">
        <f t="shared" si="7"/>
        <v>3280</v>
      </c>
      <c r="U9" s="71">
        <f t="shared" si="7"/>
        <v>3280</v>
      </c>
      <c r="V9" s="71">
        <f t="shared" si="7"/>
        <v>3280</v>
      </c>
      <c r="W9" s="71">
        <f t="shared" si="7"/>
        <v>3280</v>
      </c>
      <c r="X9" s="71">
        <f t="shared" si="7"/>
        <v>3280</v>
      </c>
      <c r="Y9" s="71">
        <f t="shared" si="7"/>
        <v>3260</v>
      </c>
      <c r="Z9" s="71">
        <f t="shared" si="7"/>
        <v>3250</v>
      </c>
      <c r="AA9" s="71">
        <f t="shared" si="7"/>
        <v>3270</v>
      </c>
      <c r="AB9" s="71">
        <f t="shared" si="7"/>
        <v>3250</v>
      </c>
      <c r="AC9" s="71">
        <f t="shared" si="7"/>
        <v>3260</v>
      </c>
      <c r="AD9" s="69">
        <f t="shared" si="1"/>
        <v>3281</v>
      </c>
      <c r="AE9" s="69">
        <f t="shared" si="2"/>
        <v>4060</v>
      </c>
      <c r="AF9" s="69">
        <v>4090</v>
      </c>
      <c r="AG9" s="69"/>
      <c r="AH9" s="69">
        <f t="shared" si="3"/>
        <v>3531</v>
      </c>
      <c r="AI9" s="63"/>
    </row>
    <row r="10" spans="1:38" s="64" customFormat="1" ht="20.100000000000001" customHeight="1" x14ac:dyDescent="0.25">
      <c r="A10" s="65">
        <v>8</v>
      </c>
      <c r="B10" s="136"/>
      <c r="C10" s="66" t="s">
        <v>109</v>
      </c>
      <c r="D10" s="67"/>
      <c r="E10" s="66">
        <v>7.85</v>
      </c>
      <c r="F10" s="66">
        <v>11.75</v>
      </c>
      <c r="G10" s="66">
        <v>1510</v>
      </c>
      <c r="H10" s="66">
        <v>3000</v>
      </c>
      <c r="I10" s="65" t="s">
        <v>122</v>
      </c>
      <c r="J10" s="68">
        <f t="shared" si="0"/>
        <v>417.83587500000004</v>
      </c>
      <c r="K10" s="68" t="s">
        <v>9</v>
      </c>
      <c r="L10" s="63">
        <v>3860</v>
      </c>
      <c r="M10" s="69">
        <f t="shared" si="4"/>
        <v>4060</v>
      </c>
      <c r="N10" s="71">
        <f>N6</f>
        <v>3310</v>
      </c>
      <c r="O10" s="71">
        <f t="shared" ref="O10:AC10" si="8">O6</f>
        <v>3310</v>
      </c>
      <c r="P10" s="71">
        <f t="shared" si="8"/>
        <v>3300</v>
      </c>
      <c r="Q10" s="71">
        <f t="shared" si="8"/>
        <v>3300</v>
      </c>
      <c r="R10" s="71">
        <f t="shared" si="8"/>
        <v>3290</v>
      </c>
      <c r="S10" s="71">
        <f t="shared" si="8"/>
        <v>3290</v>
      </c>
      <c r="T10" s="71">
        <f t="shared" si="8"/>
        <v>3280</v>
      </c>
      <c r="U10" s="71">
        <f t="shared" si="8"/>
        <v>3280</v>
      </c>
      <c r="V10" s="71">
        <f t="shared" si="8"/>
        <v>3280</v>
      </c>
      <c r="W10" s="71">
        <f t="shared" si="8"/>
        <v>3280</v>
      </c>
      <c r="X10" s="71">
        <f t="shared" si="8"/>
        <v>3280</v>
      </c>
      <c r="Y10" s="71">
        <f t="shared" si="8"/>
        <v>3260</v>
      </c>
      <c r="Z10" s="71">
        <f t="shared" si="8"/>
        <v>3250</v>
      </c>
      <c r="AA10" s="71">
        <f t="shared" si="8"/>
        <v>3270</v>
      </c>
      <c r="AB10" s="71">
        <f t="shared" si="8"/>
        <v>3250</v>
      </c>
      <c r="AC10" s="71">
        <f t="shared" si="8"/>
        <v>3260</v>
      </c>
      <c r="AD10" s="69">
        <f t="shared" si="1"/>
        <v>3281</v>
      </c>
      <c r="AE10" s="69">
        <f t="shared" si="2"/>
        <v>4060</v>
      </c>
      <c r="AF10" s="69">
        <v>4090</v>
      </c>
      <c r="AG10" s="69"/>
      <c r="AH10" s="69">
        <f t="shared" si="3"/>
        <v>3531</v>
      </c>
      <c r="AI10" s="63"/>
    </row>
    <row r="11" spans="1:38" s="76" customFormat="1" ht="20.100000000000001" customHeight="1" x14ac:dyDescent="0.25">
      <c r="A11" s="72">
        <v>9</v>
      </c>
      <c r="B11" s="137" t="s">
        <v>111</v>
      </c>
      <c r="C11" s="73" t="s">
        <v>107</v>
      </c>
      <c r="D11" s="74" t="s">
        <v>95</v>
      </c>
      <c r="E11" s="73">
        <v>7.85</v>
      </c>
      <c r="F11" s="73">
        <v>1</v>
      </c>
      <c r="G11" s="73">
        <v>1250</v>
      </c>
      <c r="H11" s="73">
        <v>2500</v>
      </c>
      <c r="I11" s="72" t="s">
        <v>123</v>
      </c>
      <c r="J11" s="75">
        <f t="shared" si="0"/>
        <v>24.53125</v>
      </c>
      <c r="K11" s="75" t="s">
        <v>9</v>
      </c>
      <c r="L11" s="63">
        <v>4430</v>
      </c>
      <c r="M11" s="69">
        <f t="shared" si="4"/>
        <v>4630</v>
      </c>
      <c r="N11" s="70">
        <v>3900</v>
      </c>
      <c r="O11" s="70">
        <v>3900</v>
      </c>
      <c r="P11" s="70">
        <v>3900</v>
      </c>
      <c r="Q11" s="70">
        <v>3900</v>
      </c>
      <c r="R11" s="70">
        <v>3900</v>
      </c>
      <c r="S11" s="70">
        <v>3900</v>
      </c>
      <c r="T11" s="70">
        <v>3900</v>
      </c>
      <c r="U11" s="70">
        <v>3900</v>
      </c>
      <c r="V11" s="70">
        <v>3900</v>
      </c>
      <c r="W11" s="70">
        <v>3900</v>
      </c>
      <c r="X11" s="70">
        <v>3900</v>
      </c>
      <c r="Y11" s="70">
        <v>3900</v>
      </c>
      <c r="Z11" s="70">
        <v>3900</v>
      </c>
      <c r="AA11" s="70">
        <v>3900</v>
      </c>
      <c r="AB11" s="70">
        <v>3900</v>
      </c>
      <c r="AC11" s="70">
        <v>3900</v>
      </c>
      <c r="AD11" s="69">
        <f t="shared" si="1"/>
        <v>3900</v>
      </c>
      <c r="AE11" s="69">
        <f t="shared" si="2"/>
        <v>4630</v>
      </c>
      <c r="AF11" s="69">
        <v>4450</v>
      </c>
      <c r="AG11" s="69">
        <v>200</v>
      </c>
      <c r="AH11" s="69">
        <f t="shared" si="3"/>
        <v>4350</v>
      </c>
      <c r="AI11" s="63"/>
      <c r="AL11" s="64"/>
    </row>
    <row r="12" spans="1:38" s="76" customFormat="1" ht="20.100000000000001" customHeight="1" x14ac:dyDescent="0.25">
      <c r="A12" s="72">
        <v>10</v>
      </c>
      <c r="B12" s="138"/>
      <c r="C12" s="73" t="s">
        <v>107</v>
      </c>
      <c r="D12" s="74"/>
      <c r="E12" s="73">
        <v>7.85</v>
      </c>
      <c r="F12" s="72">
        <v>1.5</v>
      </c>
      <c r="G12" s="72">
        <v>1250</v>
      </c>
      <c r="H12" s="72">
        <v>2500</v>
      </c>
      <c r="I12" s="72" t="s">
        <v>123</v>
      </c>
      <c r="J12" s="75">
        <f t="shared" si="0"/>
        <v>36.796875</v>
      </c>
      <c r="K12" s="75" t="s">
        <v>9</v>
      </c>
      <c r="L12" s="63">
        <v>4380</v>
      </c>
      <c r="M12" s="69">
        <f t="shared" si="4"/>
        <v>4580</v>
      </c>
      <c r="N12" s="70">
        <v>3850</v>
      </c>
      <c r="O12" s="70">
        <v>3850</v>
      </c>
      <c r="P12" s="70">
        <v>3850</v>
      </c>
      <c r="Q12" s="70">
        <v>3850</v>
      </c>
      <c r="R12" s="70">
        <v>3850</v>
      </c>
      <c r="S12" s="70">
        <v>3850</v>
      </c>
      <c r="T12" s="70">
        <v>3850</v>
      </c>
      <c r="U12" s="70">
        <v>3850</v>
      </c>
      <c r="V12" s="70">
        <v>3850</v>
      </c>
      <c r="W12" s="70">
        <v>3850</v>
      </c>
      <c r="X12" s="70">
        <v>3850</v>
      </c>
      <c r="Y12" s="70">
        <v>3850</v>
      </c>
      <c r="Z12" s="70">
        <v>3850</v>
      </c>
      <c r="AA12" s="70">
        <v>3850</v>
      </c>
      <c r="AB12" s="70">
        <v>3850</v>
      </c>
      <c r="AC12" s="70">
        <v>3850</v>
      </c>
      <c r="AD12" s="69">
        <f t="shared" si="1"/>
        <v>3850</v>
      </c>
      <c r="AE12" s="69">
        <f t="shared" si="2"/>
        <v>4580</v>
      </c>
      <c r="AF12" s="69">
        <v>4400</v>
      </c>
      <c r="AG12" s="69">
        <v>200</v>
      </c>
      <c r="AH12" s="69">
        <f t="shared" si="3"/>
        <v>4300</v>
      </c>
      <c r="AI12" s="63"/>
      <c r="AL12" s="64"/>
    </row>
    <row r="13" spans="1:38" s="76" customFormat="1" ht="18.75" customHeight="1" x14ac:dyDescent="0.25">
      <c r="A13" s="72">
        <v>11</v>
      </c>
      <c r="B13" s="138"/>
      <c r="C13" s="73" t="s">
        <v>107</v>
      </c>
      <c r="D13" s="74" t="s">
        <v>96</v>
      </c>
      <c r="E13" s="73">
        <v>7.85</v>
      </c>
      <c r="F13" s="72">
        <v>2</v>
      </c>
      <c r="G13" s="72">
        <v>1250</v>
      </c>
      <c r="H13" s="72">
        <v>3000</v>
      </c>
      <c r="I13" s="72" t="s">
        <v>113</v>
      </c>
      <c r="J13" s="75">
        <f t="shared" si="0"/>
        <v>58.875</v>
      </c>
      <c r="K13" s="75" t="s">
        <v>9</v>
      </c>
      <c r="L13" s="63">
        <v>4380</v>
      </c>
      <c r="M13" s="69">
        <f>L13+200</f>
        <v>4580</v>
      </c>
      <c r="N13" s="77">
        <f>N12</f>
        <v>3850</v>
      </c>
      <c r="O13" s="77">
        <f t="shared" ref="O13:AC13" si="9">O12</f>
        <v>3850</v>
      </c>
      <c r="P13" s="77">
        <f t="shared" si="9"/>
        <v>3850</v>
      </c>
      <c r="Q13" s="77">
        <f t="shared" si="9"/>
        <v>3850</v>
      </c>
      <c r="R13" s="77">
        <f t="shared" si="9"/>
        <v>3850</v>
      </c>
      <c r="S13" s="77">
        <f t="shared" si="9"/>
        <v>3850</v>
      </c>
      <c r="T13" s="77">
        <f t="shared" si="9"/>
        <v>3850</v>
      </c>
      <c r="U13" s="77">
        <f t="shared" si="9"/>
        <v>3850</v>
      </c>
      <c r="V13" s="77">
        <f t="shared" si="9"/>
        <v>3850</v>
      </c>
      <c r="W13" s="77">
        <f t="shared" si="9"/>
        <v>3850</v>
      </c>
      <c r="X13" s="77">
        <f t="shared" si="9"/>
        <v>3850</v>
      </c>
      <c r="Y13" s="77">
        <f t="shared" si="9"/>
        <v>3850</v>
      </c>
      <c r="Z13" s="77">
        <f t="shared" si="9"/>
        <v>3850</v>
      </c>
      <c r="AA13" s="77">
        <f t="shared" si="9"/>
        <v>3850</v>
      </c>
      <c r="AB13" s="77">
        <f t="shared" si="9"/>
        <v>3850</v>
      </c>
      <c r="AC13" s="77">
        <f t="shared" si="9"/>
        <v>3850</v>
      </c>
      <c r="AD13" s="69">
        <f t="shared" si="1"/>
        <v>3850</v>
      </c>
      <c r="AE13" s="69">
        <f t="shared" si="2"/>
        <v>4580</v>
      </c>
      <c r="AF13" s="69">
        <v>4400</v>
      </c>
      <c r="AG13" s="69">
        <v>200</v>
      </c>
      <c r="AH13" s="69">
        <f t="shared" si="3"/>
        <v>4300</v>
      </c>
      <c r="AI13" s="63"/>
      <c r="AL13" s="64"/>
    </row>
    <row r="14" spans="1:38" s="76" customFormat="1" ht="18.75" customHeight="1" x14ac:dyDescent="0.25">
      <c r="A14" s="72">
        <v>12</v>
      </c>
      <c r="B14" s="138"/>
      <c r="C14" s="73" t="s">
        <v>107</v>
      </c>
      <c r="D14" s="74" t="s">
        <v>96</v>
      </c>
      <c r="E14" s="73">
        <v>7.85</v>
      </c>
      <c r="F14" s="72">
        <v>2.5</v>
      </c>
      <c r="G14" s="72">
        <v>1250</v>
      </c>
      <c r="H14" s="72">
        <v>3000</v>
      </c>
      <c r="I14" s="72" t="s">
        <v>113</v>
      </c>
      <c r="J14" s="75">
        <f t="shared" si="0"/>
        <v>73.59375</v>
      </c>
      <c r="K14" s="75" t="s">
        <v>9</v>
      </c>
      <c r="L14" s="63">
        <v>4380</v>
      </c>
      <c r="M14" s="69">
        <f t="shared" si="4"/>
        <v>4580</v>
      </c>
      <c r="N14" s="70">
        <v>4080</v>
      </c>
      <c r="O14" s="70">
        <v>4080</v>
      </c>
      <c r="P14" s="70">
        <v>4080</v>
      </c>
      <c r="Q14" s="70">
        <v>4080</v>
      </c>
      <c r="R14" s="70">
        <v>4080</v>
      </c>
      <c r="S14" s="70">
        <v>4080</v>
      </c>
      <c r="T14" s="70">
        <v>4080</v>
      </c>
      <c r="U14" s="70">
        <v>4080</v>
      </c>
      <c r="V14" s="70">
        <v>4080</v>
      </c>
      <c r="W14" s="70">
        <v>4080</v>
      </c>
      <c r="X14" s="70">
        <v>4080</v>
      </c>
      <c r="Y14" s="70">
        <v>4080</v>
      </c>
      <c r="Z14" s="70">
        <v>4080</v>
      </c>
      <c r="AA14" s="70">
        <v>4080</v>
      </c>
      <c r="AB14" s="70">
        <v>4080</v>
      </c>
      <c r="AC14" s="70">
        <v>4080</v>
      </c>
      <c r="AD14" s="69">
        <f t="shared" si="1"/>
        <v>4080</v>
      </c>
      <c r="AE14" s="69">
        <f t="shared" si="2"/>
        <v>4580</v>
      </c>
      <c r="AF14" s="69">
        <v>4400</v>
      </c>
      <c r="AG14" s="69">
        <v>200</v>
      </c>
      <c r="AH14" s="69">
        <f t="shared" si="3"/>
        <v>4530</v>
      </c>
      <c r="AI14" s="63"/>
      <c r="AL14" s="64"/>
    </row>
    <row r="15" spans="1:38" s="64" customFormat="1" ht="18.75" customHeight="1" x14ac:dyDescent="0.25">
      <c r="A15" s="72">
        <v>13</v>
      </c>
      <c r="B15" s="138"/>
      <c r="C15" s="73" t="s">
        <v>107</v>
      </c>
      <c r="D15" s="74"/>
      <c r="E15" s="73">
        <v>7.85</v>
      </c>
      <c r="F15" s="72">
        <v>3</v>
      </c>
      <c r="G15" s="72">
        <v>1250</v>
      </c>
      <c r="H15" s="72">
        <v>3000</v>
      </c>
      <c r="I15" s="72" t="s">
        <v>113</v>
      </c>
      <c r="J15" s="75">
        <f t="shared" si="0"/>
        <v>88.312499999999986</v>
      </c>
      <c r="K15" s="75" t="s">
        <v>9</v>
      </c>
      <c r="L15" s="63"/>
      <c r="M15" s="69"/>
      <c r="N15" s="70">
        <v>4200</v>
      </c>
      <c r="O15" s="70">
        <v>4200</v>
      </c>
      <c r="P15" s="70">
        <v>4200</v>
      </c>
      <c r="Q15" s="70">
        <v>4200</v>
      </c>
      <c r="R15" s="70">
        <v>4200</v>
      </c>
      <c r="S15" s="70">
        <v>4200</v>
      </c>
      <c r="T15" s="70">
        <v>4200</v>
      </c>
      <c r="U15" s="70">
        <v>4200</v>
      </c>
      <c r="V15" s="70">
        <v>4200</v>
      </c>
      <c r="W15" s="70">
        <v>4200</v>
      </c>
      <c r="X15" s="70">
        <v>4200</v>
      </c>
      <c r="Y15" s="70">
        <v>4200</v>
      </c>
      <c r="Z15" s="70">
        <v>4200</v>
      </c>
      <c r="AA15" s="70">
        <v>4200</v>
      </c>
      <c r="AB15" s="70">
        <v>4200</v>
      </c>
      <c r="AC15" s="70">
        <v>4200</v>
      </c>
      <c r="AD15" s="69">
        <f t="shared" si="1"/>
        <v>4200</v>
      </c>
      <c r="AE15" s="69"/>
      <c r="AF15" s="69"/>
      <c r="AG15" s="69">
        <v>200</v>
      </c>
      <c r="AH15" s="69">
        <f t="shared" si="3"/>
        <v>4650</v>
      </c>
      <c r="AI15" s="63"/>
    </row>
    <row r="16" spans="1:38" s="76" customFormat="1" ht="20.100000000000001" customHeight="1" x14ac:dyDescent="0.25">
      <c r="A16" s="78">
        <v>14</v>
      </c>
      <c r="B16" s="139" t="s">
        <v>114</v>
      </c>
      <c r="C16" s="79" t="s">
        <v>108</v>
      </c>
      <c r="D16" s="80" t="s">
        <v>98</v>
      </c>
      <c r="E16" s="79">
        <v>7.85</v>
      </c>
      <c r="F16" s="79">
        <v>2.75</v>
      </c>
      <c r="G16" s="79">
        <v>1510</v>
      </c>
      <c r="H16" s="79">
        <v>3000</v>
      </c>
      <c r="I16" s="78" t="s">
        <v>121</v>
      </c>
      <c r="J16" s="81">
        <f t="shared" si="0"/>
        <v>97.791375000000002</v>
      </c>
      <c r="K16" s="81" t="s">
        <v>9</v>
      </c>
      <c r="L16" s="63">
        <v>4180</v>
      </c>
      <c r="M16" s="69">
        <f t="shared" si="4"/>
        <v>4380</v>
      </c>
      <c r="N16" s="77">
        <f>N17</f>
        <v>3480</v>
      </c>
      <c r="O16" s="77">
        <f t="shared" ref="O16:AC16" si="10">O17</f>
        <v>3480</v>
      </c>
      <c r="P16" s="77">
        <f t="shared" si="10"/>
        <v>3480</v>
      </c>
      <c r="Q16" s="77">
        <f>Q17</f>
        <v>3470</v>
      </c>
      <c r="R16" s="77">
        <f t="shared" si="10"/>
        <v>3460</v>
      </c>
      <c r="S16" s="77">
        <f t="shared" si="10"/>
        <v>3460</v>
      </c>
      <c r="T16" s="77">
        <f t="shared" si="10"/>
        <v>3450</v>
      </c>
      <c r="U16" s="77">
        <f t="shared" si="10"/>
        <v>3450</v>
      </c>
      <c r="V16" s="77">
        <f t="shared" si="10"/>
        <v>3450</v>
      </c>
      <c r="W16" s="77">
        <f t="shared" si="10"/>
        <v>3450</v>
      </c>
      <c r="X16" s="77">
        <f t="shared" si="10"/>
        <v>3450</v>
      </c>
      <c r="Y16" s="77">
        <f t="shared" si="10"/>
        <v>3420</v>
      </c>
      <c r="Z16" s="77">
        <f t="shared" si="10"/>
        <v>3420</v>
      </c>
      <c r="AA16" s="77">
        <f t="shared" si="10"/>
        <v>3450</v>
      </c>
      <c r="AB16" s="77">
        <f t="shared" si="10"/>
        <v>3430</v>
      </c>
      <c r="AC16" s="77">
        <f t="shared" si="10"/>
        <v>3430</v>
      </c>
      <c r="AD16" s="69">
        <f t="shared" si="1"/>
        <v>3452</v>
      </c>
      <c r="AE16" s="69">
        <f t="shared" ref="AE16:AE23" si="11">M16</f>
        <v>4380</v>
      </c>
      <c r="AF16" s="69">
        <v>4430</v>
      </c>
      <c r="AG16" s="69"/>
      <c r="AH16" s="69">
        <f t="shared" si="3"/>
        <v>3702</v>
      </c>
      <c r="AI16" s="63"/>
      <c r="AL16" s="64"/>
    </row>
    <row r="17" spans="1:38" s="76" customFormat="1" ht="20.100000000000001" customHeight="1" x14ac:dyDescent="0.25">
      <c r="A17" s="78">
        <v>15</v>
      </c>
      <c r="B17" s="140"/>
      <c r="C17" s="79" t="s">
        <v>86</v>
      </c>
      <c r="D17" s="80" t="s">
        <v>99</v>
      </c>
      <c r="E17" s="79">
        <v>7.85</v>
      </c>
      <c r="F17" s="78">
        <v>3.75</v>
      </c>
      <c r="G17" s="78">
        <v>1510</v>
      </c>
      <c r="H17" s="78">
        <v>3000</v>
      </c>
      <c r="I17" s="78" t="s">
        <v>121</v>
      </c>
      <c r="J17" s="81">
        <f t="shared" si="0"/>
        <v>133.35187499999998</v>
      </c>
      <c r="K17" s="81" t="s">
        <v>9</v>
      </c>
      <c r="L17" s="63">
        <v>4180</v>
      </c>
      <c r="M17" s="69">
        <f t="shared" si="4"/>
        <v>4380</v>
      </c>
      <c r="N17" s="70">
        <v>3480</v>
      </c>
      <c r="O17" s="70">
        <v>3480</v>
      </c>
      <c r="P17" s="70">
        <v>3480</v>
      </c>
      <c r="Q17" s="70">
        <v>3470</v>
      </c>
      <c r="R17" s="70">
        <v>3460</v>
      </c>
      <c r="S17" s="70">
        <v>3460</v>
      </c>
      <c r="T17" s="70">
        <v>3450</v>
      </c>
      <c r="U17" s="70">
        <v>3450</v>
      </c>
      <c r="V17" s="70">
        <v>3450</v>
      </c>
      <c r="W17" s="70">
        <v>3450</v>
      </c>
      <c r="X17" s="70">
        <v>3450</v>
      </c>
      <c r="Y17" s="70">
        <v>3420</v>
      </c>
      <c r="Z17" s="70">
        <v>3420</v>
      </c>
      <c r="AA17" s="70">
        <v>3450</v>
      </c>
      <c r="AB17" s="70">
        <v>3430</v>
      </c>
      <c r="AC17" s="70">
        <v>3430</v>
      </c>
      <c r="AD17" s="69">
        <f t="shared" si="1"/>
        <v>3452</v>
      </c>
      <c r="AE17" s="69">
        <f t="shared" si="11"/>
        <v>4380</v>
      </c>
      <c r="AF17" s="69">
        <v>4430</v>
      </c>
      <c r="AG17" s="69"/>
      <c r="AH17" s="69">
        <f t="shared" si="3"/>
        <v>3702</v>
      </c>
      <c r="AI17" s="63"/>
      <c r="AL17" s="64"/>
    </row>
    <row r="18" spans="1:38" s="76" customFormat="1" ht="20.100000000000001" customHeight="1" x14ac:dyDescent="0.25">
      <c r="A18" s="78">
        <v>16</v>
      </c>
      <c r="B18" s="140"/>
      <c r="C18" s="79" t="s">
        <v>87</v>
      </c>
      <c r="D18" s="80" t="s">
        <v>100</v>
      </c>
      <c r="E18" s="79">
        <v>7.85</v>
      </c>
      <c r="F18" s="78">
        <v>4.75</v>
      </c>
      <c r="G18" s="78">
        <v>1510</v>
      </c>
      <c r="H18" s="78">
        <v>3000</v>
      </c>
      <c r="I18" s="78" t="s">
        <v>121</v>
      </c>
      <c r="J18" s="81">
        <f t="shared" si="0"/>
        <v>168.91237499999997</v>
      </c>
      <c r="K18" s="81" t="s">
        <v>9</v>
      </c>
      <c r="L18" s="63">
        <v>4080</v>
      </c>
      <c r="M18" s="69">
        <f t="shared" si="4"/>
        <v>4280</v>
      </c>
      <c r="N18" s="70">
        <v>3430</v>
      </c>
      <c r="O18" s="70">
        <v>3430</v>
      </c>
      <c r="P18" s="70">
        <v>3430</v>
      </c>
      <c r="Q18" s="70">
        <v>3420</v>
      </c>
      <c r="R18" s="70">
        <v>3410</v>
      </c>
      <c r="S18" s="70">
        <v>3410</v>
      </c>
      <c r="T18" s="70">
        <v>3400</v>
      </c>
      <c r="U18" s="70">
        <v>3400</v>
      </c>
      <c r="V18" s="70">
        <v>3400</v>
      </c>
      <c r="W18" s="70">
        <v>3400</v>
      </c>
      <c r="X18" s="70">
        <v>3400</v>
      </c>
      <c r="Y18" s="70">
        <v>3370</v>
      </c>
      <c r="Z18" s="70">
        <v>3370</v>
      </c>
      <c r="AA18" s="70">
        <v>3400</v>
      </c>
      <c r="AB18" s="70">
        <v>3380</v>
      </c>
      <c r="AC18" s="70">
        <v>3380</v>
      </c>
      <c r="AD18" s="69">
        <f t="shared" si="1"/>
        <v>3402</v>
      </c>
      <c r="AE18" s="69">
        <f t="shared" si="11"/>
        <v>4280</v>
      </c>
      <c r="AF18" s="69">
        <v>4330</v>
      </c>
      <c r="AG18" s="69"/>
      <c r="AH18" s="69">
        <f t="shared" si="3"/>
        <v>3652</v>
      </c>
      <c r="AI18" s="63"/>
      <c r="AL18" s="64"/>
    </row>
    <row r="19" spans="1:38" s="76" customFormat="1" ht="20.100000000000001" customHeight="1" x14ac:dyDescent="0.25">
      <c r="A19" s="78">
        <v>17</v>
      </c>
      <c r="B19" s="139" t="s">
        <v>115</v>
      </c>
      <c r="C19" s="79" t="s">
        <v>87</v>
      </c>
      <c r="D19" s="80" t="s">
        <v>101</v>
      </c>
      <c r="E19" s="79">
        <v>7.85</v>
      </c>
      <c r="F19" s="78">
        <v>5.75</v>
      </c>
      <c r="G19" s="78">
        <v>1510</v>
      </c>
      <c r="H19" s="78">
        <v>3000</v>
      </c>
      <c r="I19" s="78" t="s">
        <v>121</v>
      </c>
      <c r="J19" s="81">
        <f t="shared" si="0"/>
        <v>204.47287499999996</v>
      </c>
      <c r="K19" s="81" t="s">
        <v>9</v>
      </c>
      <c r="L19" s="63">
        <v>4080</v>
      </c>
      <c r="M19" s="69">
        <f t="shared" si="4"/>
        <v>4280</v>
      </c>
      <c r="N19" s="70">
        <v>3440</v>
      </c>
      <c r="O19" s="70">
        <v>3440</v>
      </c>
      <c r="P19" s="70">
        <v>3450</v>
      </c>
      <c r="Q19" s="70">
        <v>3440</v>
      </c>
      <c r="R19" s="70">
        <v>3430</v>
      </c>
      <c r="S19" s="70">
        <v>3430</v>
      </c>
      <c r="T19" s="70">
        <v>3430</v>
      </c>
      <c r="U19" s="70">
        <v>3430</v>
      </c>
      <c r="V19" s="70">
        <v>3430</v>
      </c>
      <c r="W19" s="70">
        <v>3430</v>
      </c>
      <c r="X19" s="70">
        <v>3430</v>
      </c>
      <c r="Y19" s="70">
        <v>3400</v>
      </c>
      <c r="Z19" s="70">
        <v>3400</v>
      </c>
      <c r="AA19" s="70">
        <v>3420</v>
      </c>
      <c r="AB19" s="70">
        <v>3410</v>
      </c>
      <c r="AC19" s="70">
        <v>3410</v>
      </c>
      <c r="AD19" s="69">
        <f t="shared" si="1"/>
        <v>3426</v>
      </c>
      <c r="AE19" s="69">
        <f t="shared" si="11"/>
        <v>4280</v>
      </c>
      <c r="AF19" s="69">
        <v>4280</v>
      </c>
      <c r="AG19" s="69"/>
      <c r="AH19" s="69">
        <f t="shared" si="3"/>
        <v>3676</v>
      </c>
      <c r="AI19" s="63"/>
      <c r="AL19" s="64"/>
    </row>
    <row r="20" spans="1:38" s="76" customFormat="1" ht="20.100000000000001" customHeight="1" x14ac:dyDescent="0.25">
      <c r="A20" s="78">
        <v>18</v>
      </c>
      <c r="B20" s="140"/>
      <c r="C20" s="79" t="s">
        <v>87</v>
      </c>
      <c r="D20" s="80" t="s">
        <v>102</v>
      </c>
      <c r="E20" s="79">
        <v>7.85</v>
      </c>
      <c r="F20" s="78">
        <v>7.75</v>
      </c>
      <c r="G20" s="78">
        <v>1510</v>
      </c>
      <c r="H20" s="78">
        <v>3000</v>
      </c>
      <c r="I20" s="78" t="s">
        <v>121</v>
      </c>
      <c r="J20" s="81">
        <f t="shared" si="0"/>
        <v>275.59387499999997</v>
      </c>
      <c r="K20" s="81" t="s">
        <v>9</v>
      </c>
      <c r="L20" s="63">
        <v>4080</v>
      </c>
      <c r="M20" s="69">
        <f t="shared" si="4"/>
        <v>4280</v>
      </c>
      <c r="N20" s="70">
        <v>3440</v>
      </c>
      <c r="O20" s="70">
        <v>3440</v>
      </c>
      <c r="P20" s="70">
        <v>3450</v>
      </c>
      <c r="Q20" s="70">
        <v>3440</v>
      </c>
      <c r="R20" s="70">
        <v>3430</v>
      </c>
      <c r="S20" s="70">
        <v>3430</v>
      </c>
      <c r="T20" s="70">
        <v>3430</v>
      </c>
      <c r="U20" s="70">
        <v>3430</v>
      </c>
      <c r="V20" s="70">
        <v>3430</v>
      </c>
      <c r="W20" s="70">
        <v>3430</v>
      </c>
      <c r="X20" s="70">
        <v>3430</v>
      </c>
      <c r="Y20" s="70">
        <v>3400</v>
      </c>
      <c r="Z20" s="70">
        <v>3400</v>
      </c>
      <c r="AA20" s="70">
        <v>3420</v>
      </c>
      <c r="AB20" s="70">
        <v>3410</v>
      </c>
      <c r="AC20" s="70">
        <v>3410</v>
      </c>
      <c r="AD20" s="69">
        <f t="shared" si="1"/>
        <v>3426</v>
      </c>
      <c r="AE20" s="69">
        <f t="shared" si="11"/>
        <v>4280</v>
      </c>
      <c r="AF20" s="69">
        <v>4280</v>
      </c>
      <c r="AG20" s="69"/>
      <c r="AH20" s="69">
        <f t="shared" si="3"/>
        <v>3676</v>
      </c>
      <c r="AI20" s="63"/>
      <c r="AL20" s="64"/>
    </row>
    <row r="21" spans="1:38" s="76" customFormat="1" ht="22.2" customHeight="1" x14ac:dyDescent="0.25">
      <c r="A21" s="78">
        <v>19</v>
      </c>
      <c r="B21" s="140"/>
      <c r="C21" s="79" t="s">
        <v>87</v>
      </c>
      <c r="D21" s="80" t="s">
        <v>103</v>
      </c>
      <c r="E21" s="79">
        <v>7.85</v>
      </c>
      <c r="F21" s="78">
        <v>9.75</v>
      </c>
      <c r="G21" s="78">
        <v>1510</v>
      </c>
      <c r="H21" s="78">
        <v>3000</v>
      </c>
      <c r="I21" s="78" t="s">
        <v>121</v>
      </c>
      <c r="J21" s="81">
        <f t="shared" si="0"/>
        <v>346.71487500000001</v>
      </c>
      <c r="K21" s="81" t="s">
        <v>9</v>
      </c>
      <c r="L21" s="63">
        <v>4080</v>
      </c>
      <c r="M21" s="69">
        <f t="shared" si="4"/>
        <v>4280</v>
      </c>
      <c r="N21" s="77">
        <f>N20</f>
        <v>3440</v>
      </c>
      <c r="O21" s="77">
        <f t="shared" ref="O21:AC21" si="12">O20</f>
        <v>3440</v>
      </c>
      <c r="P21" s="77">
        <f>P20</f>
        <v>3450</v>
      </c>
      <c r="Q21" s="77">
        <f t="shared" si="12"/>
        <v>3440</v>
      </c>
      <c r="R21" s="77">
        <f t="shared" si="12"/>
        <v>3430</v>
      </c>
      <c r="S21" s="77">
        <f t="shared" si="12"/>
        <v>3430</v>
      </c>
      <c r="T21" s="77">
        <f t="shared" si="12"/>
        <v>3430</v>
      </c>
      <c r="U21" s="77">
        <f t="shared" si="12"/>
        <v>3430</v>
      </c>
      <c r="V21" s="77">
        <f t="shared" si="12"/>
        <v>3430</v>
      </c>
      <c r="W21" s="77">
        <f t="shared" si="12"/>
        <v>3430</v>
      </c>
      <c r="X21" s="77">
        <f t="shared" si="12"/>
        <v>3430</v>
      </c>
      <c r="Y21" s="77">
        <f t="shared" si="12"/>
        <v>3400</v>
      </c>
      <c r="Z21" s="77">
        <f t="shared" si="12"/>
        <v>3400</v>
      </c>
      <c r="AA21" s="77">
        <f t="shared" si="12"/>
        <v>3420</v>
      </c>
      <c r="AB21" s="77">
        <f t="shared" si="12"/>
        <v>3410</v>
      </c>
      <c r="AC21" s="77">
        <f t="shared" si="12"/>
        <v>3410</v>
      </c>
      <c r="AD21" s="69">
        <f t="shared" si="1"/>
        <v>3426</v>
      </c>
      <c r="AE21" s="69">
        <f t="shared" si="11"/>
        <v>4280</v>
      </c>
      <c r="AF21" s="69">
        <v>4350</v>
      </c>
      <c r="AG21" s="69"/>
      <c r="AH21" s="69">
        <f t="shared" si="3"/>
        <v>3676</v>
      </c>
      <c r="AI21" s="131" t="s">
        <v>106</v>
      </c>
      <c r="AL21" s="64"/>
    </row>
    <row r="22" spans="1:38" s="76" customFormat="1" ht="22.2" customHeight="1" x14ac:dyDescent="0.25">
      <c r="A22" s="78">
        <v>20</v>
      </c>
      <c r="B22" s="140"/>
      <c r="C22" s="79" t="s">
        <v>87</v>
      </c>
      <c r="D22" s="80"/>
      <c r="E22" s="79">
        <v>7.85</v>
      </c>
      <c r="F22" s="78">
        <v>11.75</v>
      </c>
      <c r="G22" s="78">
        <v>2500</v>
      </c>
      <c r="H22" s="78">
        <v>12000</v>
      </c>
      <c r="I22" s="78" t="s">
        <v>104</v>
      </c>
      <c r="J22" s="81">
        <f t="shared" si="0"/>
        <v>2767.1249999999995</v>
      </c>
      <c r="K22" s="81" t="s">
        <v>9</v>
      </c>
      <c r="L22" s="63">
        <v>4150</v>
      </c>
      <c r="M22" s="69">
        <f t="shared" si="4"/>
        <v>4350</v>
      </c>
      <c r="N22" s="77">
        <f>N21+70</f>
        <v>3510</v>
      </c>
      <c r="O22" s="77">
        <f t="shared" ref="O22:AC22" si="13">O21+70</f>
        <v>3510</v>
      </c>
      <c r="P22" s="77">
        <f>P21+70</f>
        <v>3520</v>
      </c>
      <c r="Q22" s="77">
        <f>Q21+70</f>
        <v>3510</v>
      </c>
      <c r="R22" s="77">
        <f t="shared" si="13"/>
        <v>3500</v>
      </c>
      <c r="S22" s="77">
        <f t="shared" si="13"/>
        <v>3500</v>
      </c>
      <c r="T22" s="77">
        <f t="shared" si="13"/>
        <v>3500</v>
      </c>
      <c r="U22" s="77">
        <f t="shared" si="13"/>
        <v>3500</v>
      </c>
      <c r="V22" s="77">
        <f t="shared" si="13"/>
        <v>3500</v>
      </c>
      <c r="W22" s="77">
        <f t="shared" si="13"/>
        <v>3500</v>
      </c>
      <c r="X22" s="77">
        <f t="shared" si="13"/>
        <v>3500</v>
      </c>
      <c r="Y22" s="77">
        <f t="shared" si="13"/>
        <v>3470</v>
      </c>
      <c r="Z22" s="77">
        <f t="shared" si="13"/>
        <v>3470</v>
      </c>
      <c r="AA22" s="77">
        <f t="shared" si="13"/>
        <v>3490</v>
      </c>
      <c r="AB22" s="77">
        <f t="shared" si="13"/>
        <v>3480</v>
      </c>
      <c r="AC22" s="77">
        <f t="shared" si="13"/>
        <v>3480</v>
      </c>
      <c r="AD22" s="69">
        <f t="shared" si="1"/>
        <v>3496</v>
      </c>
      <c r="AE22" s="69">
        <f t="shared" si="11"/>
        <v>4350</v>
      </c>
      <c r="AF22" s="69">
        <v>4350</v>
      </c>
      <c r="AG22" s="69"/>
      <c r="AH22" s="69">
        <f t="shared" si="3"/>
        <v>3746</v>
      </c>
      <c r="AI22" s="131"/>
    </row>
    <row r="23" spans="1:38" ht="45" x14ac:dyDescent="0.25">
      <c r="A23" s="82">
        <v>21</v>
      </c>
      <c r="B23" s="83" t="s">
        <v>130</v>
      </c>
      <c r="C23" s="84" t="s">
        <v>87</v>
      </c>
      <c r="D23" s="85"/>
      <c r="E23" s="84">
        <v>7.85</v>
      </c>
      <c r="F23" s="86">
        <v>15.75</v>
      </c>
      <c r="G23" s="86">
        <v>2500</v>
      </c>
      <c r="H23" s="86">
        <v>12000</v>
      </c>
      <c r="I23" s="86" t="s">
        <v>104</v>
      </c>
      <c r="J23" s="87">
        <f t="shared" si="0"/>
        <v>3709.125</v>
      </c>
      <c r="K23" s="87" t="s">
        <v>9</v>
      </c>
      <c r="L23" s="63">
        <v>4150</v>
      </c>
      <c r="M23" s="69">
        <f t="shared" si="4"/>
        <v>4350</v>
      </c>
      <c r="N23" s="70">
        <v>3490</v>
      </c>
      <c r="O23" s="70">
        <v>3480</v>
      </c>
      <c r="P23" s="70">
        <v>3490</v>
      </c>
      <c r="Q23" s="70">
        <v>3490</v>
      </c>
      <c r="R23" s="70">
        <v>3480</v>
      </c>
      <c r="S23" s="70">
        <v>3480</v>
      </c>
      <c r="T23" s="70">
        <v>3470</v>
      </c>
      <c r="U23" s="70">
        <v>3470</v>
      </c>
      <c r="V23" s="70">
        <v>3470</v>
      </c>
      <c r="W23" s="70">
        <v>3470</v>
      </c>
      <c r="X23" s="70">
        <v>3470</v>
      </c>
      <c r="Y23" s="70">
        <v>3460</v>
      </c>
      <c r="Z23" s="70">
        <v>3460</v>
      </c>
      <c r="AA23" s="70">
        <v>3460</v>
      </c>
      <c r="AB23" s="70">
        <v>3460</v>
      </c>
      <c r="AC23" s="70">
        <v>3460</v>
      </c>
      <c r="AD23" s="69">
        <f t="shared" si="1"/>
        <v>3473</v>
      </c>
      <c r="AE23" s="69">
        <f t="shared" si="11"/>
        <v>4350</v>
      </c>
      <c r="AF23" s="69"/>
      <c r="AG23" s="69"/>
      <c r="AH23" s="69">
        <f>AD23+AG23+250</f>
        <v>3723</v>
      </c>
      <c r="AI23" s="88"/>
    </row>
    <row r="24" spans="1:38" ht="20.100000000000001" customHeight="1" x14ac:dyDescent="0.25"/>
    <row r="25" spans="1:38" ht="20.100000000000001" customHeight="1" x14ac:dyDescent="0.25"/>
    <row r="26" spans="1:38" ht="20.100000000000001" customHeight="1" x14ac:dyDescent="0.25"/>
    <row r="27" spans="1:38" ht="20.100000000000001" customHeight="1" x14ac:dyDescent="0.25"/>
    <row r="28" spans="1:38" ht="20.100000000000001" customHeight="1" x14ac:dyDescent="0.25"/>
    <row r="37" spans="4:49" s="52" customFormat="1" x14ac:dyDescent="0.25">
      <c r="D37" s="89"/>
      <c r="E37" s="90"/>
      <c r="F37" s="90"/>
      <c r="G37" s="90"/>
      <c r="H37" s="90"/>
      <c r="M37" s="53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3"/>
      <c r="AE37" s="53"/>
      <c r="AF37" s="53"/>
      <c r="AG37" s="53"/>
      <c r="AH37" s="53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</row>
  </sheetData>
  <mergeCells count="6">
    <mergeCell ref="AI21:AI22"/>
    <mergeCell ref="A1:K1"/>
    <mergeCell ref="B3:B10"/>
    <mergeCell ref="B11:B15"/>
    <mergeCell ref="B16:B18"/>
    <mergeCell ref="B19:B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C049-A05E-41B6-BB49-54325BC0CE31}">
  <sheetPr>
    <pageSetUpPr fitToPage="1"/>
  </sheetPr>
  <dimension ref="A1:BC37"/>
  <sheetViews>
    <sheetView workbookViewId="0">
      <pane xSplit="13" ySplit="2" topLeftCell="AF3" activePane="bottomRight" state="frozen"/>
      <selection activeCell="W8" sqref="W8"/>
      <selection pane="topRight" activeCell="W8" sqref="W8"/>
      <selection pane="bottomLeft" activeCell="W8" sqref="W8"/>
      <selection pane="bottomRight" sqref="A1:K1"/>
    </sheetView>
  </sheetViews>
  <sheetFormatPr defaultColWidth="9" defaultRowHeight="17.399999999999999" x14ac:dyDescent="0.25"/>
  <cols>
    <col min="1" max="1" width="5.69921875" style="52" customWidth="1"/>
    <col min="2" max="2" width="15.5" style="52" customWidth="1"/>
    <col min="3" max="3" width="11.5" style="52" customWidth="1"/>
    <col min="4" max="4" width="12.69921875" style="89" customWidth="1"/>
    <col min="5" max="5" width="9.59765625" style="90" customWidth="1"/>
    <col min="6" max="6" width="9.09765625" style="90" customWidth="1"/>
    <col min="7" max="7" width="7.19921875" style="90" customWidth="1"/>
    <col min="8" max="8" width="7.69921875" style="90" customWidth="1"/>
    <col min="9" max="9" width="11.3984375" style="52" customWidth="1"/>
    <col min="10" max="10" width="7.3984375" style="52" customWidth="1"/>
    <col min="11" max="11" width="8.3984375" style="52" customWidth="1"/>
    <col min="12" max="12" width="9.8984375" style="52" customWidth="1"/>
    <col min="13" max="13" width="9.5" style="53" customWidth="1"/>
    <col min="14" max="19" width="8.5" style="54" customWidth="1"/>
    <col min="20" max="35" width="9.5" style="54" customWidth="1"/>
    <col min="36" max="36" width="13.8984375" style="53" bestFit="1" customWidth="1"/>
    <col min="37" max="37" width="9.5" style="53" hidden="1" customWidth="1"/>
    <col min="38" max="38" width="11.59765625" style="53" hidden="1" customWidth="1"/>
    <col min="39" max="39" width="5.5" style="53" hidden="1" customWidth="1"/>
    <col min="40" max="40" width="9.5" style="53" bestFit="1" customWidth="1"/>
    <col min="41" max="41" width="22.5" style="52" customWidth="1"/>
    <col min="42" max="16384" width="9" style="55"/>
  </cols>
  <sheetData>
    <row r="1" spans="1:44" ht="45" customHeight="1" x14ac:dyDescent="0.25">
      <c r="A1" s="132" t="s">
        <v>127</v>
      </c>
      <c r="B1" s="133"/>
      <c r="C1" s="134"/>
      <c r="D1" s="134"/>
      <c r="E1" s="134"/>
      <c r="F1" s="134"/>
      <c r="G1" s="134"/>
      <c r="H1" s="134"/>
      <c r="I1" s="134"/>
      <c r="J1" s="134"/>
      <c r="K1" s="134"/>
    </row>
    <row r="2" spans="1:44" s="64" customFormat="1" ht="52.2" x14ac:dyDescent="0.25">
      <c r="A2" s="56" t="s">
        <v>78</v>
      </c>
      <c r="B2" s="57" t="s">
        <v>117</v>
      </c>
      <c r="C2" s="56" t="s">
        <v>3</v>
      </c>
      <c r="D2" s="58" t="s">
        <v>88</v>
      </c>
      <c r="E2" s="57" t="s">
        <v>79</v>
      </c>
      <c r="F2" s="57" t="s">
        <v>80</v>
      </c>
      <c r="G2" s="57" t="s">
        <v>81</v>
      </c>
      <c r="H2" s="57" t="s">
        <v>82</v>
      </c>
      <c r="I2" s="59" t="s">
        <v>83</v>
      </c>
      <c r="J2" s="59" t="s">
        <v>84</v>
      </c>
      <c r="K2" s="56" t="s">
        <v>5</v>
      </c>
      <c r="L2" s="97" t="s">
        <v>118</v>
      </c>
      <c r="M2" s="61" t="s">
        <v>119</v>
      </c>
      <c r="N2" s="62">
        <v>46083</v>
      </c>
      <c r="O2" s="62">
        <v>46084</v>
      </c>
      <c r="P2" s="62">
        <v>46085</v>
      </c>
      <c r="Q2" s="62">
        <v>46086</v>
      </c>
      <c r="R2" s="62">
        <v>46087</v>
      </c>
      <c r="S2" s="62">
        <v>46090</v>
      </c>
      <c r="T2" s="62">
        <v>46091</v>
      </c>
      <c r="U2" s="62">
        <v>46092</v>
      </c>
      <c r="V2" s="62">
        <v>46093</v>
      </c>
      <c r="W2" s="62">
        <v>46094</v>
      </c>
      <c r="X2" s="62">
        <v>46097</v>
      </c>
      <c r="Y2" s="62">
        <v>46098</v>
      </c>
      <c r="Z2" s="62">
        <v>46099</v>
      </c>
      <c r="AA2" s="62">
        <v>46100</v>
      </c>
      <c r="AB2" s="62">
        <v>46101</v>
      </c>
      <c r="AC2" s="62">
        <v>46104</v>
      </c>
      <c r="AD2" s="62">
        <v>46105</v>
      </c>
      <c r="AE2" s="62">
        <v>46106</v>
      </c>
      <c r="AF2" s="62">
        <v>46107</v>
      </c>
      <c r="AG2" s="62">
        <v>46108</v>
      </c>
      <c r="AH2" s="62">
        <v>46111</v>
      </c>
      <c r="AI2" s="62">
        <v>46112</v>
      </c>
      <c r="AJ2" s="61" t="s">
        <v>133</v>
      </c>
      <c r="AK2" s="61" t="s">
        <v>112</v>
      </c>
      <c r="AL2" s="61" t="s">
        <v>120</v>
      </c>
      <c r="AM2" s="61" t="s">
        <v>124</v>
      </c>
      <c r="AN2" s="61" t="s">
        <v>134</v>
      </c>
      <c r="AO2" s="63" t="s">
        <v>105</v>
      </c>
    </row>
    <row r="3" spans="1:44" s="64" customFormat="1" ht="20.100000000000001" customHeight="1" x14ac:dyDescent="0.25">
      <c r="A3" s="92">
        <v>1</v>
      </c>
      <c r="B3" s="135" t="s">
        <v>110</v>
      </c>
      <c r="C3" s="91" t="s">
        <v>85</v>
      </c>
      <c r="D3" s="67" t="s">
        <v>89</v>
      </c>
      <c r="E3" s="91">
        <v>7.85</v>
      </c>
      <c r="F3" s="92">
        <v>2.5</v>
      </c>
      <c r="G3" s="92">
        <v>1510</v>
      </c>
      <c r="H3" s="92">
        <v>3000</v>
      </c>
      <c r="I3" s="92" t="s">
        <v>122</v>
      </c>
      <c r="J3" s="68">
        <f t="shared" ref="J3:J23" si="0">F3/1000*G3/1000*H3/1000*E3*1000</f>
        <v>88.901250000000005</v>
      </c>
      <c r="K3" s="68" t="s">
        <v>9</v>
      </c>
      <c r="L3" s="63">
        <v>4000</v>
      </c>
      <c r="M3" s="69">
        <f>L3+200</f>
        <v>4200</v>
      </c>
      <c r="N3" s="70">
        <v>3400</v>
      </c>
      <c r="O3" s="70">
        <v>3400</v>
      </c>
      <c r="P3" s="70">
        <v>3400</v>
      </c>
      <c r="Q3" s="70">
        <v>3400</v>
      </c>
      <c r="R3" s="70">
        <v>3400</v>
      </c>
      <c r="S3" s="70">
        <v>3440</v>
      </c>
      <c r="T3" s="70">
        <v>3430</v>
      </c>
      <c r="U3" s="70">
        <v>3430</v>
      </c>
      <c r="V3" s="70">
        <v>3450</v>
      </c>
      <c r="W3" s="70">
        <v>3470</v>
      </c>
      <c r="X3" s="70">
        <v>3460</v>
      </c>
      <c r="Y3" s="70">
        <v>3460</v>
      </c>
      <c r="Z3" s="70">
        <v>3470</v>
      </c>
      <c r="AA3" s="70">
        <v>3460</v>
      </c>
      <c r="AB3" s="70">
        <v>3460</v>
      </c>
      <c r="AC3" s="70">
        <v>3480</v>
      </c>
      <c r="AD3" s="70">
        <v>3480</v>
      </c>
      <c r="AE3" s="70">
        <v>3480</v>
      </c>
      <c r="AF3" s="70">
        <v>3470</v>
      </c>
      <c r="AG3" s="70">
        <v>3460</v>
      </c>
      <c r="AH3" s="70">
        <v>3480</v>
      </c>
      <c r="AI3" s="70">
        <v>3460</v>
      </c>
      <c r="AJ3" s="69">
        <f t="shared" ref="AJ3:AJ23" si="1">ROUND(AVERAGE(N3:AI3),0)</f>
        <v>3447</v>
      </c>
      <c r="AK3" s="69">
        <f t="shared" ref="AK3:AK14" si="2">M3</f>
        <v>4200</v>
      </c>
      <c r="AL3" s="69">
        <v>4230</v>
      </c>
      <c r="AM3" s="69"/>
      <c r="AN3" s="69">
        <f>AJ3+AM3+250</f>
        <v>3697</v>
      </c>
      <c r="AO3" s="63"/>
    </row>
    <row r="4" spans="1:44" s="64" customFormat="1" ht="20.100000000000001" customHeight="1" x14ac:dyDescent="0.25">
      <c r="A4" s="92">
        <v>2</v>
      </c>
      <c r="B4" s="136"/>
      <c r="C4" s="91" t="s">
        <v>85</v>
      </c>
      <c r="D4" s="67" t="s">
        <v>97</v>
      </c>
      <c r="E4" s="91">
        <v>7.85</v>
      </c>
      <c r="F4" s="92">
        <v>3</v>
      </c>
      <c r="G4" s="92">
        <v>1500</v>
      </c>
      <c r="H4" s="92">
        <v>3000</v>
      </c>
      <c r="I4" s="92" t="s">
        <v>122</v>
      </c>
      <c r="J4" s="68">
        <f t="shared" si="0"/>
        <v>105.97499999999998</v>
      </c>
      <c r="K4" s="68" t="s">
        <v>9</v>
      </c>
      <c r="L4" s="63">
        <v>3940</v>
      </c>
      <c r="M4" s="69">
        <f>L4+200</f>
        <v>4140</v>
      </c>
      <c r="N4" s="70">
        <v>3380</v>
      </c>
      <c r="O4" s="70">
        <v>3380</v>
      </c>
      <c r="P4" s="70">
        <v>3380</v>
      </c>
      <c r="Q4" s="70">
        <v>3380</v>
      </c>
      <c r="R4" s="70">
        <v>3380</v>
      </c>
      <c r="S4" s="70">
        <v>3420</v>
      </c>
      <c r="T4" s="70">
        <v>3410</v>
      </c>
      <c r="U4" s="70">
        <v>3410</v>
      </c>
      <c r="V4" s="70">
        <v>3430</v>
      </c>
      <c r="W4" s="70">
        <v>3450</v>
      </c>
      <c r="X4" s="70">
        <v>3440</v>
      </c>
      <c r="Y4" s="70">
        <v>3440</v>
      </c>
      <c r="Z4" s="70">
        <v>3450</v>
      </c>
      <c r="AA4" s="70">
        <v>3440</v>
      </c>
      <c r="AB4" s="70">
        <v>3440</v>
      </c>
      <c r="AC4" s="70">
        <v>3460</v>
      </c>
      <c r="AD4" s="70">
        <v>3460</v>
      </c>
      <c r="AE4" s="70">
        <v>3460</v>
      </c>
      <c r="AF4" s="70">
        <v>3450</v>
      </c>
      <c r="AG4" s="70">
        <v>3440</v>
      </c>
      <c r="AH4" s="70">
        <v>3460</v>
      </c>
      <c r="AI4" s="70">
        <v>3440</v>
      </c>
      <c r="AJ4" s="69">
        <f t="shared" si="1"/>
        <v>3427</v>
      </c>
      <c r="AK4" s="69">
        <f t="shared" si="2"/>
        <v>4140</v>
      </c>
      <c r="AL4" s="69">
        <v>4180</v>
      </c>
      <c r="AM4" s="69"/>
      <c r="AN4" s="69">
        <f t="shared" ref="AN4:AN22" si="3">AJ4+AM4+250</f>
        <v>3677</v>
      </c>
      <c r="AO4" s="63"/>
    </row>
    <row r="5" spans="1:44" s="64" customFormat="1" ht="20.100000000000001" customHeight="1" x14ac:dyDescent="0.25">
      <c r="A5" s="92">
        <v>3</v>
      </c>
      <c r="B5" s="136"/>
      <c r="C5" s="91" t="s">
        <v>85</v>
      </c>
      <c r="D5" s="67" t="s">
        <v>90</v>
      </c>
      <c r="E5" s="91">
        <v>7.85</v>
      </c>
      <c r="F5" s="92">
        <v>4</v>
      </c>
      <c r="G5" s="92">
        <v>1510</v>
      </c>
      <c r="H5" s="92">
        <v>3000</v>
      </c>
      <c r="I5" s="92" t="s">
        <v>122</v>
      </c>
      <c r="J5" s="68">
        <f t="shared" si="0"/>
        <v>142.24200000000002</v>
      </c>
      <c r="K5" s="68" t="s">
        <v>9</v>
      </c>
      <c r="L5" s="63">
        <v>3930</v>
      </c>
      <c r="M5" s="69">
        <f t="shared" ref="M5:M23" si="4">L5+200</f>
        <v>4130</v>
      </c>
      <c r="N5" s="70">
        <v>3300</v>
      </c>
      <c r="O5" s="70">
        <v>3300</v>
      </c>
      <c r="P5" s="70">
        <v>3300</v>
      </c>
      <c r="Q5" s="70">
        <v>3300</v>
      </c>
      <c r="R5" s="70">
        <v>3300</v>
      </c>
      <c r="S5" s="70">
        <v>3340</v>
      </c>
      <c r="T5" s="70">
        <v>3330</v>
      </c>
      <c r="U5" s="70">
        <v>3330</v>
      </c>
      <c r="V5" s="70">
        <v>3350</v>
      </c>
      <c r="W5" s="70">
        <v>3370</v>
      </c>
      <c r="X5" s="70">
        <v>3360</v>
      </c>
      <c r="Y5" s="70">
        <v>3360</v>
      </c>
      <c r="Z5" s="70">
        <v>3370</v>
      </c>
      <c r="AA5" s="70">
        <v>3360</v>
      </c>
      <c r="AB5" s="70">
        <v>3360</v>
      </c>
      <c r="AC5" s="70">
        <v>3380</v>
      </c>
      <c r="AD5" s="70">
        <v>3380</v>
      </c>
      <c r="AE5" s="70">
        <v>3380</v>
      </c>
      <c r="AF5" s="70">
        <v>3370</v>
      </c>
      <c r="AG5" s="70">
        <v>3360</v>
      </c>
      <c r="AH5" s="70">
        <v>3380</v>
      </c>
      <c r="AI5" s="70">
        <v>3360</v>
      </c>
      <c r="AJ5" s="69">
        <f t="shared" si="1"/>
        <v>3347</v>
      </c>
      <c r="AK5" s="69">
        <f t="shared" si="2"/>
        <v>4130</v>
      </c>
      <c r="AL5" s="69">
        <v>4160</v>
      </c>
      <c r="AM5" s="69"/>
      <c r="AN5" s="69">
        <f t="shared" si="3"/>
        <v>3597</v>
      </c>
      <c r="AO5" s="63"/>
    </row>
    <row r="6" spans="1:44" s="64" customFormat="1" ht="20.100000000000001" customHeight="1" x14ac:dyDescent="0.25">
      <c r="A6" s="92">
        <v>4</v>
      </c>
      <c r="B6" s="136"/>
      <c r="C6" s="91" t="s">
        <v>85</v>
      </c>
      <c r="D6" s="67" t="s">
        <v>91</v>
      </c>
      <c r="E6" s="91">
        <v>7.85</v>
      </c>
      <c r="F6" s="92">
        <v>4.75</v>
      </c>
      <c r="G6" s="92">
        <v>1510</v>
      </c>
      <c r="H6" s="92">
        <v>3000</v>
      </c>
      <c r="I6" s="92" t="s">
        <v>122</v>
      </c>
      <c r="J6" s="68">
        <f t="shared" si="0"/>
        <v>168.91237499999997</v>
      </c>
      <c r="K6" s="68" t="s">
        <v>9</v>
      </c>
      <c r="L6" s="63">
        <v>3860</v>
      </c>
      <c r="M6" s="69">
        <f t="shared" si="4"/>
        <v>4060</v>
      </c>
      <c r="N6" s="71">
        <v>3260</v>
      </c>
      <c r="O6" s="71">
        <v>3260</v>
      </c>
      <c r="P6" s="71">
        <v>3260</v>
      </c>
      <c r="Q6" s="71">
        <v>3260</v>
      </c>
      <c r="R6" s="71">
        <v>3260</v>
      </c>
      <c r="S6" s="71">
        <v>3300</v>
      </c>
      <c r="T6" s="71">
        <v>3290</v>
      </c>
      <c r="U6" s="71">
        <v>3290</v>
      </c>
      <c r="V6" s="71">
        <v>3310</v>
      </c>
      <c r="W6" s="71">
        <v>3330</v>
      </c>
      <c r="X6" s="71">
        <v>3320</v>
      </c>
      <c r="Y6" s="71">
        <v>3320</v>
      </c>
      <c r="Z6" s="71">
        <v>3330</v>
      </c>
      <c r="AA6" s="71">
        <v>3320</v>
      </c>
      <c r="AB6" s="71">
        <v>3320</v>
      </c>
      <c r="AC6" s="71">
        <v>3340</v>
      </c>
      <c r="AD6" s="71">
        <v>3340</v>
      </c>
      <c r="AE6" s="71">
        <v>3340</v>
      </c>
      <c r="AF6" s="71">
        <v>3330</v>
      </c>
      <c r="AG6" s="71">
        <v>3320</v>
      </c>
      <c r="AH6" s="71">
        <v>3340</v>
      </c>
      <c r="AI6" s="71">
        <v>3320</v>
      </c>
      <c r="AJ6" s="69">
        <f t="shared" si="1"/>
        <v>3307</v>
      </c>
      <c r="AK6" s="69">
        <f t="shared" si="2"/>
        <v>4060</v>
      </c>
      <c r="AL6" s="69">
        <v>4090</v>
      </c>
      <c r="AM6" s="69"/>
      <c r="AN6" s="69">
        <f>AJ6+AM6+250</f>
        <v>3557</v>
      </c>
      <c r="AO6" s="63"/>
    </row>
    <row r="7" spans="1:44" s="64" customFormat="1" ht="20.100000000000001" customHeight="1" x14ac:dyDescent="0.25">
      <c r="A7" s="92">
        <v>5</v>
      </c>
      <c r="B7" s="136"/>
      <c r="C7" s="91" t="s">
        <v>85</v>
      </c>
      <c r="D7" s="67" t="s">
        <v>92</v>
      </c>
      <c r="E7" s="91">
        <v>7.85</v>
      </c>
      <c r="F7" s="92">
        <v>5.75</v>
      </c>
      <c r="G7" s="92">
        <v>1510</v>
      </c>
      <c r="H7" s="92">
        <v>3000</v>
      </c>
      <c r="I7" s="92" t="s">
        <v>122</v>
      </c>
      <c r="J7" s="68">
        <f t="shared" si="0"/>
        <v>204.47287499999996</v>
      </c>
      <c r="K7" s="68" t="s">
        <v>9</v>
      </c>
      <c r="L7" s="63">
        <v>3860</v>
      </c>
      <c r="M7" s="69">
        <f t="shared" si="4"/>
        <v>4060</v>
      </c>
      <c r="N7" s="71">
        <f>N6</f>
        <v>3260</v>
      </c>
      <c r="O7" s="71">
        <f t="shared" ref="O7:AI7" si="5">O6</f>
        <v>3260</v>
      </c>
      <c r="P7" s="71">
        <f t="shared" si="5"/>
        <v>3260</v>
      </c>
      <c r="Q7" s="71">
        <f t="shared" si="5"/>
        <v>3260</v>
      </c>
      <c r="R7" s="71">
        <f t="shared" si="5"/>
        <v>3260</v>
      </c>
      <c r="S7" s="71">
        <f t="shared" si="5"/>
        <v>3300</v>
      </c>
      <c r="T7" s="71">
        <f t="shared" si="5"/>
        <v>3290</v>
      </c>
      <c r="U7" s="71">
        <f t="shared" si="5"/>
        <v>3290</v>
      </c>
      <c r="V7" s="71">
        <f t="shared" si="5"/>
        <v>3310</v>
      </c>
      <c r="W7" s="71">
        <f t="shared" si="5"/>
        <v>3330</v>
      </c>
      <c r="X7" s="71">
        <f t="shared" si="5"/>
        <v>3320</v>
      </c>
      <c r="Y7" s="71">
        <f t="shared" si="5"/>
        <v>3320</v>
      </c>
      <c r="Z7" s="71">
        <f t="shared" si="5"/>
        <v>3330</v>
      </c>
      <c r="AA7" s="71">
        <f t="shared" si="5"/>
        <v>3320</v>
      </c>
      <c r="AB7" s="71">
        <f t="shared" si="5"/>
        <v>3320</v>
      </c>
      <c r="AC7" s="71">
        <f t="shared" si="5"/>
        <v>3340</v>
      </c>
      <c r="AD7" s="71">
        <f t="shared" si="5"/>
        <v>3340</v>
      </c>
      <c r="AE7" s="71">
        <f t="shared" si="5"/>
        <v>3340</v>
      </c>
      <c r="AF7" s="71">
        <f t="shared" si="5"/>
        <v>3330</v>
      </c>
      <c r="AG7" s="71">
        <f t="shared" si="5"/>
        <v>3320</v>
      </c>
      <c r="AH7" s="71">
        <f t="shared" si="5"/>
        <v>3340</v>
      </c>
      <c r="AI7" s="71">
        <f t="shared" si="5"/>
        <v>3320</v>
      </c>
      <c r="AJ7" s="69">
        <f t="shared" si="1"/>
        <v>3307</v>
      </c>
      <c r="AK7" s="69">
        <f t="shared" si="2"/>
        <v>4060</v>
      </c>
      <c r="AL7" s="69">
        <v>4090</v>
      </c>
      <c r="AM7" s="69"/>
      <c r="AN7" s="69">
        <f t="shared" si="3"/>
        <v>3557</v>
      </c>
      <c r="AO7" s="63"/>
    </row>
    <row r="8" spans="1:44" s="64" customFormat="1" ht="20.100000000000001" customHeight="1" x14ac:dyDescent="0.25">
      <c r="A8" s="92">
        <v>6</v>
      </c>
      <c r="B8" s="136"/>
      <c r="C8" s="91" t="s">
        <v>85</v>
      </c>
      <c r="D8" s="67" t="s">
        <v>93</v>
      </c>
      <c r="E8" s="91">
        <v>7.85</v>
      </c>
      <c r="F8" s="92">
        <v>7.75</v>
      </c>
      <c r="G8" s="92">
        <v>1510</v>
      </c>
      <c r="H8" s="92">
        <v>3000</v>
      </c>
      <c r="I8" s="92" t="s">
        <v>122</v>
      </c>
      <c r="J8" s="68">
        <f t="shared" si="0"/>
        <v>275.59387499999997</v>
      </c>
      <c r="K8" s="68" t="s">
        <v>9</v>
      </c>
      <c r="L8" s="63">
        <v>3860</v>
      </c>
      <c r="M8" s="69">
        <f t="shared" si="4"/>
        <v>4060</v>
      </c>
      <c r="N8" s="71">
        <f>N6</f>
        <v>3260</v>
      </c>
      <c r="O8" s="71">
        <f t="shared" ref="O8:AI8" si="6">O6</f>
        <v>3260</v>
      </c>
      <c r="P8" s="71">
        <f t="shared" si="6"/>
        <v>3260</v>
      </c>
      <c r="Q8" s="71">
        <f t="shared" si="6"/>
        <v>3260</v>
      </c>
      <c r="R8" s="71">
        <f t="shared" si="6"/>
        <v>3260</v>
      </c>
      <c r="S8" s="71">
        <f t="shared" si="6"/>
        <v>3300</v>
      </c>
      <c r="T8" s="71">
        <f t="shared" si="6"/>
        <v>3290</v>
      </c>
      <c r="U8" s="71">
        <f t="shared" si="6"/>
        <v>3290</v>
      </c>
      <c r="V8" s="71">
        <f t="shared" si="6"/>
        <v>3310</v>
      </c>
      <c r="W8" s="71">
        <f t="shared" si="6"/>
        <v>3330</v>
      </c>
      <c r="X8" s="71">
        <f t="shared" si="6"/>
        <v>3320</v>
      </c>
      <c r="Y8" s="71">
        <f t="shared" si="6"/>
        <v>3320</v>
      </c>
      <c r="Z8" s="71">
        <f t="shared" si="6"/>
        <v>3330</v>
      </c>
      <c r="AA8" s="71">
        <f t="shared" si="6"/>
        <v>3320</v>
      </c>
      <c r="AB8" s="71">
        <f t="shared" si="6"/>
        <v>3320</v>
      </c>
      <c r="AC8" s="71">
        <f t="shared" si="6"/>
        <v>3340</v>
      </c>
      <c r="AD8" s="71">
        <f t="shared" si="6"/>
        <v>3340</v>
      </c>
      <c r="AE8" s="71">
        <f t="shared" si="6"/>
        <v>3340</v>
      </c>
      <c r="AF8" s="71">
        <f t="shared" si="6"/>
        <v>3330</v>
      </c>
      <c r="AG8" s="71">
        <f t="shared" si="6"/>
        <v>3320</v>
      </c>
      <c r="AH8" s="71">
        <f t="shared" si="6"/>
        <v>3340</v>
      </c>
      <c r="AI8" s="71">
        <f t="shared" si="6"/>
        <v>3320</v>
      </c>
      <c r="AJ8" s="69">
        <f t="shared" si="1"/>
        <v>3307</v>
      </c>
      <c r="AK8" s="69">
        <f t="shared" si="2"/>
        <v>4060</v>
      </c>
      <c r="AL8" s="69">
        <v>4090</v>
      </c>
      <c r="AM8" s="69"/>
      <c r="AN8" s="69">
        <f t="shared" si="3"/>
        <v>3557</v>
      </c>
      <c r="AO8" s="63"/>
    </row>
    <row r="9" spans="1:44" s="64" customFormat="1" ht="20.100000000000001" customHeight="1" x14ac:dyDescent="0.25">
      <c r="A9" s="92">
        <v>7</v>
      </c>
      <c r="B9" s="136"/>
      <c r="C9" s="91" t="s">
        <v>85</v>
      </c>
      <c r="D9" s="67" t="s">
        <v>94</v>
      </c>
      <c r="E9" s="91">
        <v>7.85</v>
      </c>
      <c r="F9" s="92">
        <v>9.75</v>
      </c>
      <c r="G9" s="92">
        <v>1510</v>
      </c>
      <c r="H9" s="92">
        <v>3000</v>
      </c>
      <c r="I9" s="92" t="s">
        <v>122</v>
      </c>
      <c r="J9" s="68">
        <f t="shared" si="0"/>
        <v>346.71487500000001</v>
      </c>
      <c r="K9" s="68" t="s">
        <v>9</v>
      </c>
      <c r="L9" s="63">
        <v>3860</v>
      </c>
      <c r="M9" s="69">
        <f t="shared" si="4"/>
        <v>4060</v>
      </c>
      <c r="N9" s="71">
        <f>N6</f>
        <v>3260</v>
      </c>
      <c r="O9" s="71">
        <f t="shared" ref="O9:AI9" si="7">O6</f>
        <v>3260</v>
      </c>
      <c r="P9" s="71">
        <f t="shared" si="7"/>
        <v>3260</v>
      </c>
      <c r="Q9" s="71">
        <f t="shared" si="7"/>
        <v>3260</v>
      </c>
      <c r="R9" s="71">
        <f t="shared" si="7"/>
        <v>3260</v>
      </c>
      <c r="S9" s="71">
        <f t="shared" si="7"/>
        <v>3300</v>
      </c>
      <c r="T9" s="71">
        <f t="shared" si="7"/>
        <v>3290</v>
      </c>
      <c r="U9" s="71">
        <f t="shared" si="7"/>
        <v>3290</v>
      </c>
      <c r="V9" s="71">
        <f t="shared" si="7"/>
        <v>3310</v>
      </c>
      <c r="W9" s="71">
        <f t="shared" si="7"/>
        <v>3330</v>
      </c>
      <c r="X9" s="71">
        <f t="shared" si="7"/>
        <v>3320</v>
      </c>
      <c r="Y9" s="71">
        <f t="shared" si="7"/>
        <v>3320</v>
      </c>
      <c r="Z9" s="71">
        <f t="shared" si="7"/>
        <v>3330</v>
      </c>
      <c r="AA9" s="71">
        <f t="shared" si="7"/>
        <v>3320</v>
      </c>
      <c r="AB9" s="71">
        <f t="shared" si="7"/>
        <v>3320</v>
      </c>
      <c r="AC9" s="71">
        <f t="shared" si="7"/>
        <v>3340</v>
      </c>
      <c r="AD9" s="71">
        <f t="shared" si="7"/>
        <v>3340</v>
      </c>
      <c r="AE9" s="71">
        <f t="shared" si="7"/>
        <v>3340</v>
      </c>
      <c r="AF9" s="71">
        <f t="shared" si="7"/>
        <v>3330</v>
      </c>
      <c r="AG9" s="71">
        <f t="shared" si="7"/>
        <v>3320</v>
      </c>
      <c r="AH9" s="71">
        <f t="shared" si="7"/>
        <v>3340</v>
      </c>
      <c r="AI9" s="71">
        <f t="shared" si="7"/>
        <v>3320</v>
      </c>
      <c r="AJ9" s="69">
        <f t="shared" si="1"/>
        <v>3307</v>
      </c>
      <c r="AK9" s="69">
        <f t="shared" si="2"/>
        <v>4060</v>
      </c>
      <c r="AL9" s="69">
        <v>4090</v>
      </c>
      <c r="AM9" s="69"/>
      <c r="AN9" s="69">
        <f t="shared" si="3"/>
        <v>3557</v>
      </c>
      <c r="AO9" s="63"/>
    </row>
    <row r="10" spans="1:44" s="64" customFormat="1" ht="20.100000000000001" customHeight="1" x14ac:dyDescent="0.25">
      <c r="A10" s="92">
        <v>8</v>
      </c>
      <c r="B10" s="136"/>
      <c r="C10" s="91" t="s">
        <v>109</v>
      </c>
      <c r="D10" s="67"/>
      <c r="E10" s="91">
        <v>7.85</v>
      </c>
      <c r="F10" s="91">
        <v>11.75</v>
      </c>
      <c r="G10" s="91">
        <v>1510</v>
      </c>
      <c r="H10" s="91">
        <v>3000</v>
      </c>
      <c r="I10" s="92" t="s">
        <v>122</v>
      </c>
      <c r="J10" s="68">
        <f t="shared" si="0"/>
        <v>417.83587500000004</v>
      </c>
      <c r="K10" s="68" t="s">
        <v>9</v>
      </c>
      <c r="L10" s="63">
        <v>3860</v>
      </c>
      <c r="M10" s="69">
        <f t="shared" si="4"/>
        <v>4060</v>
      </c>
      <c r="N10" s="71">
        <f>N6</f>
        <v>3260</v>
      </c>
      <c r="O10" s="71">
        <f t="shared" ref="O10:AI10" si="8">O6</f>
        <v>3260</v>
      </c>
      <c r="P10" s="71">
        <f t="shared" si="8"/>
        <v>3260</v>
      </c>
      <c r="Q10" s="71">
        <f t="shared" si="8"/>
        <v>3260</v>
      </c>
      <c r="R10" s="71">
        <f t="shared" si="8"/>
        <v>3260</v>
      </c>
      <c r="S10" s="71">
        <f t="shared" si="8"/>
        <v>3300</v>
      </c>
      <c r="T10" s="71">
        <f t="shared" si="8"/>
        <v>3290</v>
      </c>
      <c r="U10" s="71">
        <f t="shared" si="8"/>
        <v>3290</v>
      </c>
      <c r="V10" s="71">
        <f t="shared" si="8"/>
        <v>3310</v>
      </c>
      <c r="W10" s="71">
        <f t="shared" si="8"/>
        <v>3330</v>
      </c>
      <c r="X10" s="71">
        <f t="shared" si="8"/>
        <v>3320</v>
      </c>
      <c r="Y10" s="71">
        <f t="shared" si="8"/>
        <v>3320</v>
      </c>
      <c r="Z10" s="71">
        <f t="shared" si="8"/>
        <v>3330</v>
      </c>
      <c r="AA10" s="71">
        <f t="shared" si="8"/>
        <v>3320</v>
      </c>
      <c r="AB10" s="71">
        <f t="shared" si="8"/>
        <v>3320</v>
      </c>
      <c r="AC10" s="71">
        <f t="shared" si="8"/>
        <v>3340</v>
      </c>
      <c r="AD10" s="71">
        <f t="shared" si="8"/>
        <v>3340</v>
      </c>
      <c r="AE10" s="71">
        <f t="shared" si="8"/>
        <v>3340</v>
      </c>
      <c r="AF10" s="71">
        <f t="shared" si="8"/>
        <v>3330</v>
      </c>
      <c r="AG10" s="71">
        <f t="shared" si="8"/>
        <v>3320</v>
      </c>
      <c r="AH10" s="71">
        <f t="shared" si="8"/>
        <v>3340</v>
      </c>
      <c r="AI10" s="71">
        <f t="shared" si="8"/>
        <v>3320</v>
      </c>
      <c r="AJ10" s="69">
        <f t="shared" si="1"/>
        <v>3307</v>
      </c>
      <c r="AK10" s="69">
        <f t="shared" si="2"/>
        <v>4060</v>
      </c>
      <c r="AL10" s="69">
        <v>4090</v>
      </c>
      <c r="AM10" s="69"/>
      <c r="AN10" s="69">
        <f t="shared" si="3"/>
        <v>3557</v>
      </c>
      <c r="AO10" s="63"/>
    </row>
    <row r="11" spans="1:44" s="76" customFormat="1" ht="20.100000000000001" customHeight="1" x14ac:dyDescent="0.25">
      <c r="A11" s="94">
        <v>9</v>
      </c>
      <c r="B11" s="137" t="s">
        <v>111</v>
      </c>
      <c r="C11" s="93" t="s">
        <v>107</v>
      </c>
      <c r="D11" s="74" t="s">
        <v>95</v>
      </c>
      <c r="E11" s="93">
        <v>7.85</v>
      </c>
      <c r="F11" s="93">
        <v>1</v>
      </c>
      <c r="G11" s="93">
        <v>1250</v>
      </c>
      <c r="H11" s="93">
        <v>2500</v>
      </c>
      <c r="I11" s="94" t="s">
        <v>123</v>
      </c>
      <c r="J11" s="75">
        <f t="shared" si="0"/>
        <v>24.53125</v>
      </c>
      <c r="K11" s="75" t="s">
        <v>9</v>
      </c>
      <c r="L11" s="63">
        <v>4430</v>
      </c>
      <c r="M11" s="69">
        <f t="shared" si="4"/>
        <v>4630</v>
      </c>
      <c r="N11" s="70">
        <v>3900</v>
      </c>
      <c r="O11" s="70">
        <v>3900</v>
      </c>
      <c r="P11" s="70">
        <v>3900</v>
      </c>
      <c r="Q11" s="70">
        <v>3900</v>
      </c>
      <c r="R11" s="70">
        <v>3900</v>
      </c>
      <c r="S11" s="70">
        <v>3900</v>
      </c>
      <c r="T11" s="70">
        <v>3900</v>
      </c>
      <c r="U11" s="70">
        <v>3900</v>
      </c>
      <c r="V11" s="70">
        <v>3900</v>
      </c>
      <c r="W11" s="70">
        <v>3900</v>
      </c>
      <c r="X11" s="70">
        <v>3920</v>
      </c>
      <c r="Y11" s="70">
        <v>3920</v>
      </c>
      <c r="Z11" s="70">
        <v>3920</v>
      </c>
      <c r="AA11" s="70">
        <v>3920</v>
      </c>
      <c r="AB11" s="70">
        <v>3920</v>
      </c>
      <c r="AC11" s="70">
        <v>3920</v>
      </c>
      <c r="AD11" s="70">
        <v>3920</v>
      </c>
      <c r="AE11" s="70">
        <v>3920</v>
      </c>
      <c r="AF11" s="70">
        <v>3920</v>
      </c>
      <c r="AG11" s="70">
        <v>3920</v>
      </c>
      <c r="AH11" s="70">
        <v>3920</v>
      </c>
      <c r="AI11" s="70">
        <v>3920</v>
      </c>
      <c r="AJ11" s="69">
        <f t="shared" si="1"/>
        <v>3911</v>
      </c>
      <c r="AK11" s="69">
        <f t="shared" si="2"/>
        <v>4630</v>
      </c>
      <c r="AL11" s="69">
        <v>4450</v>
      </c>
      <c r="AM11" s="69">
        <v>200</v>
      </c>
      <c r="AN11" s="69">
        <f t="shared" si="3"/>
        <v>4361</v>
      </c>
      <c r="AO11" s="63"/>
      <c r="AR11" s="64"/>
    </row>
    <row r="12" spans="1:44" s="76" customFormat="1" ht="20.100000000000001" customHeight="1" x14ac:dyDescent="0.25">
      <c r="A12" s="94">
        <v>10</v>
      </c>
      <c r="B12" s="138"/>
      <c r="C12" s="93" t="s">
        <v>107</v>
      </c>
      <c r="D12" s="74"/>
      <c r="E12" s="93">
        <v>7.85</v>
      </c>
      <c r="F12" s="94">
        <v>1.5</v>
      </c>
      <c r="G12" s="94">
        <v>1250</v>
      </c>
      <c r="H12" s="94">
        <v>2500</v>
      </c>
      <c r="I12" s="94" t="s">
        <v>123</v>
      </c>
      <c r="J12" s="75">
        <f t="shared" si="0"/>
        <v>36.796875</v>
      </c>
      <c r="K12" s="75" t="s">
        <v>9</v>
      </c>
      <c r="L12" s="63">
        <v>4380</v>
      </c>
      <c r="M12" s="69">
        <f t="shared" si="4"/>
        <v>4580</v>
      </c>
      <c r="N12" s="70">
        <v>3850</v>
      </c>
      <c r="O12" s="70">
        <v>3850</v>
      </c>
      <c r="P12" s="70">
        <v>3850</v>
      </c>
      <c r="Q12" s="70">
        <v>3850</v>
      </c>
      <c r="R12" s="70">
        <v>3850</v>
      </c>
      <c r="S12" s="70">
        <v>3850</v>
      </c>
      <c r="T12" s="70">
        <v>3850</v>
      </c>
      <c r="U12" s="70">
        <v>3850</v>
      </c>
      <c r="V12" s="70">
        <v>3850</v>
      </c>
      <c r="W12" s="70">
        <v>3850</v>
      </c>
      <c r="X12" s="70">
        <v>3870</v>
      </c>
      <c r="Y12" s="70">
        <v>3870</v>
      </c>
      <c r="Z12" s="70">
        <v>3870</v>
      </c>
      <c r="AA12" s="70">
        <v>3870</v>
      </c>
      <c r="AB12" s="70">
        <v>3870</v>
      </c>
      <c r="AC12" s="70">
        <v>3870</v>
      </c>
      <c r="AD12" s="70">
        <v>3870</v>
      </c>
      <c r="AE12" s="70">
        <v>3870</v>
      </c>
      <c r="AF12" s="70">
        <v>3870</v>
      </c>
      <c r="AG12" s="70">
        <v>3870</v>
      </c>
      <c r="AH12" s="70">
        <v>3870</v>
      </c>
      <c r="AI12" s="70">
        <v>3870</v>
      </c>
      <c r="AJ12" s="69">
        <f t="shared" si="1"/>
        <v>3861</v>
      </c>
      <c r="AK12" s="69">
        <f t="shared" si="2"/>
        <v>4580</v>
      </c>
      <c r="AL12" s="69">
        <v>4400</v>
      </c>
      <c r="AM12" s="69">
        <v>200</v>
      </c>
      <c r="AN12" s="69">
        <f t="shared" si="3"/>
        <v>4311</v>
      </c>
      <c r="AO12" s="63"/>
      <c r="AR12" s="64"/>
    </row>
    <row r="13" spans="1:44" s="76" customFormat="1" ht="18.75" customHeight="1" x14ac:dyDescent="0.25">
      <c r="A13" s="94">
        <v>11</v>
      </c>
      <c r="B13" s="138"/>
      <c r="C13" s="93" t="s">
        <v>107</v>
      </c>
      <c r="D13" s="74" t="s">
        <v>96</v>
      </c>
      <c r="E13" s="93">
        <v>7.85</v>
      </c>
      <c r="F13" s="94">
        <v>2</v>
      </c>
      <c r="G13" s="94">
        <v>1250</v>
      </c>
      <c r="H13" s="94">
        <v>3000</v>
      </c>
      <c r="I13" s="94" t="s">
        <v>113</v>
      </c>
      <c r="J13" s="75">
        <f t="shared" si="0"/>
        <v>58.875</v>
      </c>
      <c r="K13" s="75" t="s">
        <v>9</v>
      </c>
      <c r="L13" s="63">
        <v>4380</v>
      </c>
      <c r="M13" s="69">
        <f>L13+200</f>
        <v>4580</v>
      </c>
      <c r="N13" s="77">
        <f>N12</f>
        <v>3850</v>
      </c>
      <c r="O13" s="77">
        <f t="shared" ref="O13:AI13" si="9">O12</f>
        <v>3850</v>
      </c>
      <c r="P13" s="77">
        <f t="shared" si="9"/>
        <v>3850</v>
      </c>
      <c r="Q13" s="77">
        <f t="shared" si="9"/>
        <v>3850</v>
      </c>
      <c r="R13" s="77">
        <f t="shared" si="9"/>
        <v>3850</v>
      </c>
      <c r="S13" s="77">
        <f t="shared" si="9"/>
        <v>3850</v>
      </c>
      <c r="T13" s="77">
        <f t="shared" si="9"/>
        <v>3850</v>
      </c>
      <c r="U13" s="77">
        <f t="shared" si="9"/>
        <v>3850</v>
      </c>
      <c r="V13" s="77">
        <f t="shared" si="9"/>
        <v>3850</v>
      </c>
      <c r="W13" s="77">
        <f t="shared" si="9"/>
        <v>3850</v>
      </c>
      <c r="X13" s="77">
        <f t="shared" si="9"/>
        <v>3870</v>
      </c>
      <c r="Y13" s="77">
        <f t="shared" si="9"/>
        <v>3870</v>
      </c>
      <c r="Z13" s="77">
        <f t="shared" si="9"/>
        <v>3870</v>
      </c>
      <c r="AA13" s="77">
        <f t="shared" si="9"/>
        <v>3870</v>
      </c>
      <c r="AB13" s="77">
        <f t="shared" si="9"/>
        <v>3870</v>
      </c>
      <c r="AC13" s="77">
        <f t="shared" si="9"/>
        <v>3870</v>
      </c>
      <c r="AD13" s="77">
        <f t="shared" si="9"/>
        <v>3870</v>
      </c>
      <c r="AE13" s="77">
        <f t="shared" si="9"/>
        <v>3870</v>
      </c>
      <c r="AF13" s="77">
        <f t="shared" si="9"/>
        <v>3870</v>
      </c>
      <c r="AG13" s="77">
        <f t="shared" si="9"/>
        <v>3870</v>
      </c>
      <c r="AH13" s="77">
        <f t="shared" si="9"/>
        <v>3870</v>
      </c>
      <c r="AI13" s="77">
        <f t="shared" si="9"/>
        <v>3870</v>
      </c>
      <c r="AJ13" s="69">
        <f t="shared" si="1"/>
        <v>3861</v>
      </c>
      <c r="AK13" s="69">
        <f t="shared" si="2"/>
        <v>4580</v>
      </c>
      <c r="AL13" s="69">
        <v>4400</v>
      </c>
      <c r="AM13" s="69">
        <v>200</v>
      </c>
      <c r="AN13" s="69">
        <f t="shared" si="3"/>
        <v>4311</v>
      </c>
      <c r="AO13" s="63"/>
      <c r="AR13" s="64"/>
    </row>
    <row r="14" spans="1:44" s="76" customFormat="1" ht="18.75" customHeight="1" x14ac:dyDescent="0.25">
      <c r="A14" s="94">
        <v>12</v>
      </c>
      <c r="B14" s="138"/>
      <c r="C14" s="93" t="s">
        <v>107</v>
      </c>
      <c r="D14" s="74" t="s">
        <v>96</v>
      </c>
      <c r="E14" s="93">
        <v>7.85</v>
      </c>
      <c r="F14" s="94">
        <v>2.5</v>
      </c>
      <c r="G14" s="94">
        <v>1250</v>
      </c>
      <c r="H14" s="94">
        <v>3000</v>
      </c>
      <c r="I14" s="94" t="s">
        <v>113</v>
      </c>
      <c r="J14" s="75">
        <f t="shared" si="0"/>
        <v>73.59375</v>
      </c>
      <c r="K14" s="75" t="s">
        <v>9</v>
      </c>
      <c r="L14" s="63">
        <v>4380</v>
      </c>
      <c r="M14" s="69">
        <f t="shared" si="4"/>
        <v>4580</v>
      </c>
      <c r="N14" s="70">
        <v>4080</v>
      </c>
      <c r="O14" s="70">
        <v>4080</v>
      </c>
      <c r="P14" s="70">
        <v>4080</v>
      </c>
      <c r="Q14" s="70">
        <v>4080</v>
      </c>
      <c r="R14" s="70">
        <v>4080</v>
      </c>
      <c r="S14" s="70">
        <v>4080</v>
      </c>
      <c r="T14" s="70">
        <v>4080</v>
      </c>
      <c r="U14" s="70">
        <v>4080</v>
      </c>
      <c r="V14" s="70">
        <v>4080</v>
      </c>
      <c r="W14" s="70">
        <v>4080</v>
      </c>
      <c r="X14" s="70">
        <v>4100</v>
      </c>
      <c r="Y14" s="70">
        <v>4100</v>
      </c>
      <c r="Z14" s="70">
        <v>4100</v>
      </c>
      <c r="AA14" s="70">
        <v>4100</v>
      </c>
      <c r="AB14" s="70">
        <v>4100</v>
      </c>
      <c r="AC14" s="70">
        <v>4100</v>
      </c>
      <c r="AD14" s="70">
        <v>4100</v>
      </c>
      <c r="AE14" s="70">
        <v>4100</v>
      </c>
      <c r="AF14" s="70">
        <v>4100</v>
      </c>
      <c r="AG14" s="70">
        <v>4100</v>
      </c>
      <c r="AH14" s="70">
        <v>4100</v>
      </c>
      <c r="AI14" s="70">
        <v>4100</v>
      </c>
      <c r="AJ14" s="69">
        <f t="shared" si="1"/>
        <v>4091</v>
      </c>
      <c r="AK14" s="69">
        <f t="shared" si="2"/>
        <v>4580</v>
      </c>
      <c r="AL14" s="69">
        <v>4400</v>
      </c>
      <c r="AM14" s="69">
        <v>200</v>
      </c>
      <c r="AN14" s="69">
        <f t="shared" si="3"/>
        <v>4541</v>
      </c>
      <c r="AO14" s="63"/>
      <c r="AR14" s="64"/>
    </row>
    <row r="15" spans="1:44" s="64" customFormat="1" ht="18.75" customHeight="1" x14ac:dyDescent="0.25">
      <c r="A15" s="94">
        <v>13</v>
      </c>
      <c r="B15" s="138"/>
      <c r="C15" s="93" t="s">
        <v>107</v>
      </c>
      <c r="D15" s="74"/>
      <c r="E15" s="93">
        <v>7.85</v>
      </c>
      <c r="F15" s="94">
        <v>3</v>
      </c>
      <c r="G15" s="94">
        <v>1250</v>
      </c>
      <c r="H15" s="94">
        <v>3000</v>
      </c>
      <c r="I15" s="94" t="s">
        <v>113</v>
      </c>
      <c r="J15" s="75">
        <f t="shared" si="0"/>
        <v>88.312499999999986</v>
      </c>
      <c r="K15" s="75" t="s">
        <v>9</v>
      </c>
      <c r="L15" s="63"/>
      <c r="M15" s="69"/>
      <c r="N15" s="70">
        <v>4200</v>
      </c>
      <c r="O15" s="70">
        <v>4200</v>
      </c>
      <c r="P15" s="70">
        <v>4200</v>
      </c>
      <c r="Q15" s="70">
        <v>4200</v>
      </c>
      <c r="R15" s="70">
        <v>4200</v>
      </c>
      <c r="S15" s="70">
        <v>4200</v>
      </c>
      <c r="T15" s="70">
        <v>4200</v>
      </c>
      <c r="U15" s="70">
        <v>4200</v>
      </c>
      <c r="V15" s="70">
        <v>4200</v>
      </c>
      <c r="W15" s="70">
        <v>4200</v>
      </c>
      <c r="X15" s="70">
        <v>4220</v>
      </c>
      <c r="Y15" s="70">
        <v>4220</v>
      </c>
      <c r="Z15" s="70">
        <v>4220</v>
      </c>
      <c r="AA15" s="70">
        <v>4220</v>
      </c>
      <c r="AB15" s="70">
        <v>4220</v>
      </c>
      <c r="AC15" s="70">
        <v>4220</v>
      </c>
      <c r="AD15" s="70">
        <v>4220</v>
      </c>
      <c r="AE15" s="70">
        <v>4220</v>
      </c>
      <c r="AF15" s="70">
        <v>4220</v>
      </c>
      <c r="AG15" s="70">
        <v>4220</v>
      </c>
      <c r="AH15" s="70">
        <v>4220</v>
      </c>
      <c r="AI15" s="70">
        <v>4220</v>
      </c>
      <c r="AJ15" s="69">
        <f t="shared" si="1"/>
        <v>4211</v>
      </c>
      <c r="AK15" s="69"/>
      <c r="AL15" s="69"/>
      <c r="AM15" s="69">
        <v>200</v>
      </c>
      <c r="AN15" s="69">
        <f t="shared" si="3"/>
        <v>4661</v>
      </c>
      <c r="AO15" s="63"/>
    </row>
    <row r="16" spans="1:44" s="76" customFormat="1" ht="20.100000000000001" customHeight="1" x14ac:dyDescent="0.25">
      <c r="A16" s="96">
        <v>14</v>
      </c>
      <c r="B16" s="139" t="s">
        <v>114</v>
      </c>
      <c r="C16" s="95" t="s">
        <v>108</v>
      </c>
      <c r="D16" s="80" t="s">
        <v>98</v>
      </c>
      <c r="E16" s="95">
        <v>7.85</v>
      </c>
      <c r="F16" s="95">
        <v>2.75</v>
      </c>
      <c r="G16" s="95">
        <v>1510</v>
      </c>
      <c r="H16" s="95">
        <v>3000</v>
      </c>
      <c r="I16" s="96" t="s">
        <v>121</v>
      </c>
      <c r="J16" s="81">
        <f t="shared" si="0"/>
        <v>97.791375000000002</v>
      </c>
      <c r="K16" s="81" t="s">
        <v>9</v>
      </c>
      <c r="L16" s="63">
        <v>4180</v>
      </c>
      <c r="M16" s="69">
        <f t="shared" si="4"/>
        <v>4380</v>
      </c>
      <c r="N16" s="77">
        <f>N17</f>
        <v>3420</v>
      </c>
      <c r="O16" s="77">
        <f t="shared" ref="O16:AI16" si="10">O17</f>
        <v>3420</v>
      </c>
      <c r="P16" s="77">
        <f t="shared" si="10"/>
        <v>3420</v>
      </c>
      <c r="Q16" s="77">
        <f>Q17</f>
        <v>3420</v>
      </c>
      <c r="R16" s="77">
        <f t="shared" si="10"/>
        <v>3420</v>
      </c>
      <c r="S16" s="77">
        <f t="shared" si="10"/>
        <v>3460</v>
      </c>
      <c r="T16" s="77">
        <f t="shared" si="10"/>
        <v>3460</v>
      </c>
      <c r="U16" s="77">
        <f t="shared" si="10"/>
        <v>3450</v>
      </c>
      <c r="V16" s="77">
        <f t="shared" si="10"/>
        <v>3460</v>
      </c>
      <c r="W16" s="77">
        <f t="shared" si="10"/>
        <v>3480</v>
      </c>
      <c r="X16" s="77">
        <f t="shared" si="10"/>
        <v>3490</v>
      </c>
      <c r="Y16" s="77">
        <f t="shared" si="10"/>
        <v>3490</v>
      </c>
      <c r="Z16" s="77">
        <f t="shared" si="10"/>
        <v>3500</v>
      </c>
      <c r="AA16" s="77">
        <f t="shared" si="10"/>
        <v>3490</v>
      </c>
      <c r="AB16" s="77">
        <f t="shared" si="10"/>
        <v>3490</v>
      </c>
      <c r="AC16" s="77">
        <f t="shared" si="10"/>
        <v>3510</v>
      </c>
      <c r="AD16" s="77">
        <f t="shared" si="10"/>
        <v>3510</v>
      </c>
      <c r="AE16" s="77">
        <f t="shared" si="10"/>
        <v>3510</v>
      </c>
      <c r="AF16" s="77">
        <f t="shared" si="10"/>
        <v>3500</v>
      </c>
      <c r="AG16" s="77">
        <f t="shared" si="10"/>
        <v>3500</v>
      </c>
      <c r="AH16" s="77">
        <f t="shared" si="10"/>
        <v>3500</v>
      </c>
      <c r="AI16" s="77">
        <f t="shared" si="10"/>
        <v>3490</v>
      </c>
      <c r="AJ16" s="69">
        <f t="shared" si="1"/>
        <v>3472</v>
      </c>
      <c r="AK16" s="69">
        <f t="shared" ref="AK16:AK23" si="11">M16</f>
        <v>4380</v>
      </c>
      <c r="AL16" s="69">
        <v>4430</v>
      </c>
      <c r="AM16" s="69"/>
      <c r="AN16" s="69">
        <f t="shared" si="3"/>
        <v>3722</v>
      </c>
      <c r="AO16" s="63"/>
      <c r="AR16" s="64"/>
    </row>
    <row r="17" spans="1:44" s="76" customFormat="1" ht="20.100000000000001" customHeight="1" x14ac:dyDescent="0.25">
      <c r="A17" s="96">
        <v>15</v>
      </c>
      <c r="B17" s="140"/>
      <c r="C17" s="95" t="s">
        <v>86</v>
      </c>
      <c r="D17" s="80" t="s">
        <v>99</v>
      </c>
      <c r="E17" s="95">
        <v>7.85</v>
      </c>
      <c r="F17" s="96">
        <v>3.75</v>
      </c>
      <c r="G17" s="96">
        <v>1510</v>
      </c>
      <c r="H17" s="96">
        <v>3000</v>
      </c>
      <c r="I17" s="96" t="s">
        <v>121</v>
      </c>
      <c r="J17" s="81">
        <f t="shared" si="0"/>
        <v>133.35187499999998</v>
      </c>
      <c r="K17" s="81" t="s">
        <v>9</v>
      </c>
      <c r="L17" s="63">
        <v>4180</v>
      </c>
      <c r="M17" s="69">
        <f t="shared" si="4"/>
        <v>4380</v>
      </c>
      <c r="N17" s="70">
        <v>3420</v>
      </c>
      <c r="O17" s="70">
        <v>3420</v>
      </c>
      <c r="P17" s="70">
        <v>3420</v>
      </c>
      <c r="Q17" s="70">
        <v>3420</v>
      </c>
      <c r="R17" s="70">
        <v>3420</v>
      </c>
      <c r="S17" s="70">
        <v>3460</v>
      </c>
      <c r="T17" s="70">
        <v>3460</v>
      </c>
      <c r="U17" s="70">
        <v>3450</v>
      </c>
      <c r="V17" s="70">
        <v>3460</v>
      </c>
      <c r="W17" s="70">
        <v>3480</v>
      </c>
      <c r="X17" s="70">
        <v>3490</v>
      </c>
      <c r="Y17" s="70">
        <v>3490</v>
      </c>
      <c r="Z17" s="70">
        <v>3500</v>
      </c>
      <c r="AA17" s="70">
        <v>3490</v>
      </c>
      <c r="AB17" s="70">
        <v>3490</v>
      </c>
      <c r="AC17" s="70">
        <v>3510</v>
      </c>
      <c r="AD17" s="70">
        <v>3510</v>
      </c>
      <c r="AE17" s="70">
        <v>3510</v>
      </c>
      <c r="AF17" s="70">
        <v>3500</v>
      </c>
      <c r="AG17" s="70">
        <v>3500</v>
      </c>
      <c r="AH17" s="70">
        <v>3500</v>
      </c>
      <c r="AI17" s="70">
        <v>3490</v>
      </c>
      <c r="AJ17" s="69">
        <f t="shared" si="1"/>
        <v>3472</v>
      </c>
      <c r="AK17" s="69">
        <f t="shared" si="11"/>
        <v>4380</v>
      </c>
      <c r="AL17" s="69">
        <v>4430</v>
      </c>
      <c r="AM17" s="69"/>
      <c r="AN17" s="69">
        <f t="shared" si="3"/>
        <v>3722</v>
      </c>
      <c r="AO17" s="63"/>
      <c r="AR17" s="64"/>
    </row>
    <row r="18" spans="1:44" s="76" customFormat="1" ht="20.100000000000001" customHeight="1" x14ac:dyDescent="0.25">
      <c r="A18" s="96">
        <v>16</v>
      </c>
      <c r="B18" s="140"/>
      <c r="C18" s="95" t="s">
        <v>87</v>
      </c>
      <c r="D18" s="80" t="s">
        <v>100</v>
      </c>
      <c r="E18" s="95">
        <v>7.85</v>
      </c>
      <c r="F18" s="96">
        <v>4.75</v>
      </c>
      <c r="G18" s="96">
        <v>1510</v>
      </c>
      <c r="H18" s="96">
        <v>3000</v>
      </c>
      <c r="I18" s="96" t="s">
        <v>121</v>
      </c>
      <c r="J18" s="81">
        <f t="shared" si="0"/>
        <v>168.91237499999997</v>
      </c>
      <c r="K18" s="81" t="s">
        <v>9</v>
      </c>
      <c r="L18" s="63">
        <v>4080</v>
      </c>
      <c r="M18" s="69">
        <f t="shared" si="4"/>
        <v>4280</v>
      </c>
      <c r="N18" s="70">
        <v>3370</v>
      </c>
      <c r="O18" s="70">
        <v>3370</v>
      </c>
      <c r="P18" s="70">
        <v>3370</v>
      </c>
      <c r="Q18" s="70">
        <v>3370</v>
      </c>
      <c r="R18" s="70">
        <v>3370</v>
      </c>
      <c r="S18" s="70">
        <v>3410</v>
      </c>
      <c r="T18" s="70">
        <v>3410</v>
      </c>
      <c r="U18" s="70">
        <v>3400</v>
      </c>
      <c r="V18" s="70">
        <v>3410</v>
      </c>
      <c r="W18" s="70">
        <v>3430</v>
      </c>
      <c r="X18" s="70">
        <v>3440</v>
      </c>
      <c r="Y18" s="70">
        <v>3440</v>
      </c>
      <c r="Z18" s="70">
        <v>3450</v>
      </c>
      <c r="AA18" s="70">
        <v>3440</v>
      </c>
      <c r="AB18" s="70">
        <v>3440</v>
      </c>
      <c r="AC18" s="70">
        <v>3460</v>
      </c>
      <c r="AD18" s="70">
        <v>3460</v>
      </c>
      <c r="AE18" s="70">
        <v>3460</v>
      </c>
      <c r="AF18" s="70">
        <v>3450</v>
      </c>
      <c r="AG18" s="70">
        <v>3450</v>
      </c>
      <c r="AH18" s="70">
        <v>3450</v>
      </c>
      <c r="AI18" s="70">
        <v>3440</v>
      </c>
      <c r="AJ18" s="69">
        <f t="shared" si="1"/>
        <v>3422</v>
      </c>
      <c r="AK18" s="69">
        <f t="shared" si="11"/>
        <v>4280</v>
      </c>
      <c r="AL18" s="69">
        <v>4330</v>
      </c>
      <c r="AM18" s="69"/>
      <c r="AN18" s="69">
        <f t="shared" si="3"/>
        <v>3672</v>
      </c>
      <c r="AO18" s="63"/>
      <c r="AR18" s="64"/>
    </row>
    <row r="19" spans="1:44" s="76" customFormat="1" ht="20.100000000000001" customHeight="1" x14ac:dyDescent="0.25">
      <c r="A19" s="96">
        <v>17</v>
      </c>
      <c r="B19" s="139" t="s">
        <v>115</v>
      </c>
      <c r="C19" s="95" t="s">
        <v>87</v>
      </c>
      <c r="D19" s="80" t="s">
        <v>101</v>
      </c>
      <c r="E19" s="95">
        <v>7.85</v>
      </c>
      <c r="F19" s="96">
        <v>5.75</v>
      </c>
      <c r="G19" s="96">
        <v>1510</v>
      </c>
      <c r="H19" s="96">
        <v>3000</v>
      </c>
      <c r="I19" s="96" t="s">
        <v>121</v>
      </c>
      <c r="J19" s="81">
        <f t="shared" si="0"/>
        <v>204.47287499999996</v>
      </c>
      <c r="K19" s="81" t="s">
        <v>9</v>
      </c>
      <c r="L19" s="63">
        <v>4080</v>
      </c>
      <c r="M19" s="69">
        <f t="shared" si="4"/>
        <v>4280</v>
      </c>
      <c r="N19" s="70">
        <v>3400</v>
      </c>
      <c r="O19" s="70">
        <v>3400</v>
      </c>
      <c r="P19" s="70">
        <v>3400</v>
      </c>
      <c r="Q19" s="70">
        <v>3400</v>
      </c>
      <c r="R19" s="70">
        <v>3400</v>
      </c>
      <c r="S19" s="70">
        <v>3440</v>
      </c>
      <c r="T19" s="70">
        <v>3440</v>
      </c>
      <c r="U19" s="70">
        <v>3440</v>
      </c>
      <c r="V19" s="70">
        <v>3450</v>
      </c>
      <c r="W19" s="70">
        <v>3470</v>
      </c>
      <c r="X19" s="70">
        <v>3470</v>
      </c>
      <c r="Y19" s="70">
        <v>3470</v>
      </c>
      <c r="Z19" s="70">
        <v>3470</v>
      </c>
      <c r="AA19" s="70">
        <v>3470</v>
      </c>
      <c r="AB19" s="70">
        <v>3470</v>
      </c>
      <c r="AC19" s="70">
        <v>3490</v>
      </c>
      <c r="AD19" s="70">
        <v>3490</v>
      </c>
      <c r="AE19" s="70">
        <v>3490</v>
      </c>
      <c r="AF19" s="70">
        <v>3490</v>
      </c>
      <c r="AG19" s="70">
        <v>3480</v>
      </c>
      <c r="AH19" s="70">
        <v>3490</v>
      </c>
      <c r="AI19" s="70">
        <v>3480</v>
      </c>
      <c r="AJ19" s="69">
        <f t="shared" si="1"/>
        <v>3455</v>
      </c>
      <c r="AK19" s="69">
        <f t="shared" si="11"/>
        <v>4280</v>
      </c>
      <c r="AL19" s="69">
        <v>4280</v>
      </c>
      <c r="AM19" s="69"/>
      <c r="AN19" s="69">
        <f t="shared" si="3"/>
        <v>3705</v>
      </c>
      <c r="AO19" s="63"/>
      <c r="AR19" s="64"/>
    </row>
    <row r="20" spans="1:44" s="76" customFormat="1" ht="20.100000000000001" customHeight="1" x14ac:dyDescent="0.25">
      <c r="A20" s="96">
        <v>18</v>
      </c>
      <c r="B20" s="140"/>
      <c r="C20" s="95" t="s">
        <v>87</v>
      </c>
      <c r="D20" s="80" t="s">
        <v>102</v>
      </c>
      <c r="E20" s="95">
        <v>7.85</v>
      </c>
      <c r="F20" s="96">
        <v>7.75</v>
      </c>
      <c r="G20" s="96">
        <v>1510</v>
      </c>
      <c r="H20" s="96">
        <v>3000</v>
      </c>
      <c r="I20" s="96" t="s">
        <v>121</v>
      </c>
      <c r="J20" s="81">
        <f t="shared" si="0"/>
        <v>275.59387499999997</v>
      </c>
      <c r="K20" s="81" t="s">
        <v>9</v>
      </c>
      <c r="L20" s="63">
        <v>4080</v>
      </c>
      <c r="M20" s="69">
        <f t="shared" si="4"/>
        <v>4280</v>
      </c>
      <c r="N20" s="70">
        <v>3400</v>
      </c>
      <c r="O20" s="70">
        <v>3400</v>
      </c>
      <c r="P20" s="70">
        <v>3400</v>
      </c>
      <c r="Q20" s="70">
        <v>3400</v>
      </c>
      <c r="R20" s="70">
        <v>3400</v>
      </c>
      <c r="S20" s="70">
        <v>3440</v>
      </c>
      <c r="T20" s="70">
        <v>3440</v>
      </c>
      <c r="U20" s="70">
        <v>3440</v>
      </c>
      <c r="V20" s="70">
        <v>3450</v>
      </c>
      <c r="W20" s="70">
        <v>3470</v>
      </c>
      <c r="X20" s="70">
        <v>3470</v>
      </c>
      <c r="Y20" s="70">
        <v>3470</v>
      </c>
      <c r="Z20" s="70">
        <v>3470</v>
      </c>
      <c r="AA20" s="70">
        <v>3470</v>
      </c>
      <c r="AB20" s="70">
        <v>3470</v>
      </c>
      <c r="AC20" s="70">
        <v>3490</v>
      </c>
      <c r="AD20" s="70">
        <v>3490</v>
      </c>
      <c r="AE20" s="70">
        <v>3490</v>
      </c>
      <c r="AF20" s="70">
        <v>3490</v>
      </c>
      <c r="AG20" s="70">
        <v>3480</v>
      </c>
      <c r="AH20" s="70">
        <v>3490</v>
      </c>
      <c r="AI20" s="70">
        <v>3480</v>
      </c>
      <c r="AJ20" s="69">
        <f t="shared" si="1"/>
        <v>3455</v>
      </c>
      <c r="AK20" s="69">
        <f t="shared" si="11"/>
        <v>4280</v>
      </c>
      <c r="AL20" s="69">
        <v>4280</v>
      </c>
      <c r="AM20" s="69"/>
      <c r="AN20" s="69">
        <f t="shared" si="3"/>
        <v>3705</v>
      </c>
      <c r="AO20" s="63"/>
      <c r="AR20" s="64"/>
    </row>
    <row r="21" spans="1:44" s="76" customFormat="1" ht="22.2" customHeight="1" x14ac:dyDescent="0.25">
      <c r="A21" s="96">
        <v>19</v>
      </c>
      <c r="B21" s="140"/>
      <c r="C21" s="95" t="s">
        <v>87</v>
      </c>
      <c r="D21" s="80" t="s">
        <v>103</v>
      </c>
      <c r="E21" s="95">
        <v>7.85</v>
      </c>
      <c r="F21" s="96">
        <v>9.75</v>
      </c>
      <c r="G21" s="96">
        <v>1510</v>
      </c>
      <c r="H21" s="96">
        <v>3000</v>
      </c>
      <c r="I21" s="96" t="s">
        <v>121</v>
      </c>
      <c r="J21" s="81">
        <f t="shared" si="0"/>
        <v>346.71487500000001</v>
      </c>
      <c r="K21" s="81" t="s">
        <v>9</v>
      </c>
      <c r="L21" s="63">
        <v>4080</v>
      </c>
      <c r="M21" s="69">
        <f t="shared" si="4"/>
        <v>4280</v>
      </c>
      <c r="N21" s="77">
        <f>N20</f>
        <v>3400</v>
      </c>
      <c r="O21" s="77">
        <f t="shared" ref="O21:AI21" si="12">O20</f>
        <v>3400</v>
      </c>
      <c r="P21" s="77">
        <f>P20</f>
        <v>3400</v>
      </c>
      <c r="Q21" s="77">
        <f t="shared" si="12"/>
        <v>3400</v>
      </c>
      <c r="R21" s="77">
        <f t="shared" si="12"/>
        <v>3400</v>
      </c>
      <c r="S21" s="77">
        <f t="shared" si="12"/>
        <v>3440</v>
      </c>
      <c r="T21" s="77">
        <f t="shared" si="12"/>
        <v>3440</v>
      </c>
      <c r="U21" s="77">
        <f t="shared" si="12"/>
        <v>3440</v>
      </c>
      <c r="V21" s="77">
        <f t="shared" si="12"/>
        <v>3450</v>
      </c>
      <c r="W21" s="77">
        <f t="shared" si="12"/>
        <v>3470</v>
      </c>
      <c r="X21" s="77">
        <f t="shared" si="12"/>
        <v>3470</v>
      </c>
      <c r="Y21" s="77">
        <f t="shared" si="12"/>
        <v>3470</v>
      </c>
      <c r="Z21" s="77">
        <f t="shared" si="12"/>
        <v>3470</v>
      </c>
      <c r="AA21" s="77">
        <f t="shared" si="12"/>
        <v>3470</v>
      </c>
      <c r="AB21" s="77">
        <f t="shared" si="12"/>
        <v>3470</v>
      </c>
      <c r="AC21" s="77">
        <f t="shared" si="12"/>
        <v>3490</v>
      </c>
      <c r="AD21" s="77">
        <f t="shared" si="12"/>
        <v>3490</v>
      </c>
      <c r="AE21" s="77">
        <f t="shared" si="12"/>
        <v>3490</v>
      </c>
      <c r="AF21" s="77">
        <f t="shared" si="12"/>
        <v>3490</v>
      </c>
      <c r="AG21" s="77">
        <f t="shared" si="12"/>
        <v>3480</v>
      </c>
      <c r="AH21" s="77">
        <f t="shared" si="12"/>
        <v>3490</v>
      </c>
      <c r="AI21" s="77">
        <f t="shared" si="12"/>
        <v>3480</v>
      </c>
      <c r="AJ21" s="69">
        <f t="shared" si="1"/>
        <v>3455</v>
      </c>
      <c r="AK21" s="69">
        <f t="shared" si="11"/>
        <v>4280</v>
      </c>
      <c r="AL21" s="69">
        <v>4350</v>
      </c>
      <c r="AM21" s="69"/>
      <c r="AN21" s="69">
        <f t="shared" si="3"/>
        <v>3705</v>
      </c>
      <c r="AO21" s="131" t="s">
        <v>106</v>
      </c>
      <c r="AR21" s="64"/>
    </row>
    <row r="22" spans="1:44" s="76" customFormat="1" ht="22.2" customHeight="1" x14ac:dyDescent="0.25">
      <c r="A22" s="96">
        <v>20</v>
      </c>
      <c r="B22" s="140"/>
      <c r="C22" s="95" t="s">
        <v>87</v>
      </c>
      <c r="D22" s="80"/>
      <c r="E22" s="95">
        <v>7.85</v>
      </c>
      <c r="F22" s="96">
        <v>11.75</v>
      </c>
      <c r="G22" s="96">
        <v>2500</v>
      </c>
      <c r="H22" s="96">
        <v>12000</v>
      </c>
      <c r="I22" s="96" t="s">
        <v>104</v>
      </c>
      <c r="J22" s="81">
        <f t="shared" si="0"/>
        <v>2767.1249999999995</v>
      </c>
      <c r="K22" s="81" t="s">
        <v>9</v>
      </c>
      <c r="L22" s="63">
        <v>4150</v>
      </c>
      <c r="M22" s="69">
        <f t="shared" si="4"/>
        <v>4350</v>
      </c>
      <c r="N22" s="77">
        <f>N21+70</f>
        <v>3470</v>
      </c>
      <c r="O22" s="77">
        <f t="shared" ref="O22:AI22" si="13">O21+70</f>
        <v>3470</v>
      </c>
      <c r="P22" s="77">
        <f>P21+70</f>
        <v>3470</v>
      </c>
      <c r="Q22" s="77">
        <f>Q21+70</f>
        <v>3470</v>
      </c>
      <c r="R22" s="77">
        <f t="shared" si="13"/>
        <v>3470</v>
      </c>
      <c r="S22" s="77">
        <f t="shared" si="13"/>
        <v>3510</v>
      </c>
      <c r="T22" s="77">
        <f t="shared" si="13"/>
        <v>3510</v>
      </c>
      <c r="U22" s="77">
        <f t="shared" si="13"/>
        <v>3510</v>
      </c>
      <c r="V22" s="77">
        <f t="shared" si="13"/>
        <v>3520</v>
      </c>
      <c r="W22" s="77">
        <f t="shared" si="13"/>
        <v>3540</v>
      </c>
      <c r="X22" s="77">
        <f t="shared" si="13"/>
        <v>3540</v>
      </c>
      <c r="Y22" s="77">
        <f t="shared" si="13"/>
        <v>3540</v>
      </c>
      <c r="Z22" s="77">
        <f t="shared" si="13"/>
        <v>3540</v>
      </c>
      <c r="AA22" s="77">
        <f t="shared" si="13"/>
        <v>3540</v>
      </c>
      <c r="AB22" s="77">
        <f t="shared" si="13"/>
        <v>3540</v>
      </c>
      <c r="AC22" s="77">
        <f t="shared" si="13"/>
        <v>3560</v>
      </c>
      <c r="AD22" s="77">
        <f t="shared" si="13"/>
        <v>3560</v>
      </c>
      <c r="AE22" s="77">
        <f t="shared" si="13"/>
        <v>3560</v>
      </c>
      <c r="AF22" s="77">
        <f t="shared" si="13"/>
        <v>3560</v>
      </c>
      <c r="AG22" s="77">
        <f t="shared" si="13"/>
        <v>3550</v>
      </c>
      <c r="AH22" s="77">
        <f t="shared" si="13"/>
        <v>3560</v>
      </c>
      <c r="AI22" s="77">
        <f t="shared" si="13"/>
        <v>3550</v>
      </c>
      <c r="AJ22" s="69">
        <f t="shared" si="1"/>
        <v>3525</v>
      </c>
      <c r="AK22" s="69">
        <f t="shared" si="11"/>
        <v>4350</v>
      </c>
      <c r="AL22" s="69">
        <v>4350</v>
      </c>
      <c r="AM22" s="69"/>
      <c r="AN22" s="69">
        <f t="shared" si="3"/>
        <v>3775</v>
      </c>
      <c r="AO22" s="131"/>
    </row>
    <row r="23" spans="1:44" ht="45" x14ac:dyDescent="0.25">
      <c r="A23" s="82">
        <v>21</v>
      </c>
      <c r="B23" s="83" t="s">
        <v>130</v>
      </c>
      <c r="C23" s="84" t="s">
        <v>87</v>
      </c>
      <c r="D23" s="85"/>
      <c r="E23" s="84">
        <v>7.85</v>
      </c>
      <c r="F23" s="86">
        <v>15.75</v>
      </c>
      <c r="G23" s="86">
        <v>2500</v>
      </c>
      <c r="H23" s="86">
        <v>12000</v>
      </c>
      <c r="I23" s="86" t="s">
        <v>104</v>
      </c>
      <c r="J23" s="87">
        <f t="shared" si="0"/>
        <v>3709.125</v>
      </c>
      <c r="K23" s="87" t="s">
        <v>9</v>
      </c>
      <c r="L23" s="63">
        <v>4150</v>
      </c>
      <c r="M23" s="69">
        <f t="shared" si="4"/>
        <v>4350</v>
      </c>
      <c r="N23" s="70">
        <v>3460</v>
      </c>
      <c r="O23" s="70">
        <v>3460</v>
      </c>
      <c r="P23" s="70">
        <v>3460</v>
      </c>
      <c r="Q23" s="70">
        <v>3470</v>
      </c>
      <c r="R23" s="70">
        <v>3470</v>
      </c>
      <c r="S23" s="70">
        <v>3480</v>
      </c>
      <c r="T23" s="70">
        <v>3490</v>
      </c>
      <c r="U23" s="70">
        <v>3490</v>
      </c>
      <c r="V23" s="70">
        <v>3490</v>
      </c>
      <c r="W23" s="70">
        <v>3490</v>
      </c>
      <c r="X23" s="70">
        <v>3500</v>
      </c>
      <c r="Y23" s="70">
        <v>3500</v>
      </c>
      <c r="Z23" s="70">
        <v>3510</v>
      </c>
      <c r="AA23" s="70">
        <v>3510</v>
      </c>
      <c r="AB23" s="70">
        <v>3500</v>
      </c>
      <c r="AC23" s="70">
        <v>3500</v>
      </c>
      <c r="AD23" s="70">
        <v>3500</v>
      </c>
      <c r="AE23" s="70">
        <v>3500</v>
      </c>
      <c r="AF23" s="70">
        <v>3500</v>
      </c>
      <c r="AG23" s="70">
        <v>3500</v>
      </c>
      <c r="AH23" s="70">
        <v>3500</v>
      </c>
      <c r="AI23" s="70">
        <v>3500</v>
      </c>
      <c r="AJ23" s="69">
        <f t="shared" si="1"/>
        <v>3490</v>
      </c>
      <c r="AK23" s="69">
        <f t="shared" si="11"/>
        <v>4350</v>
      </c>
      <c r="AL23" s="69"/>
      <c r="AM23" s="69"/>
      <c r="AN23" s="69">
        <f>AJ23+AM23+250</f>
        <v>3740</v>
      </c>
      <c r="AO23" s="88"/>
    </row>
    <row r="24" spans="1:44" ht="20.100000000000001" customHeight="1" x14ac:dyDescent="0.25"/>
    <row r="25" spans="1:44" ht="20.100000000000001" customHeight="1" x14ac:dyDescent="0.25"/>
    <row r="26" spans="1:44" ht="20.100000000000001" customHeight="1" x14ac:dyDescent="0.25"/>
    <row r="27" spans="1:44" ht="20.100000000000001" customHeight="1" x14ac:dyDescent="0.25"/>
    <row r="28" spans="1:44" ht="20.100000000000001" customHeight="1" x14ac:dyDescent="0.25"/>
    <row r="37" spans="4:55" s="52" customFormat="1" x14ac:dyDescent="0.25">
      <c r="D37" s="89"/>
      <c r="E37" s="90"/>
      <c r="F37" s="90"/>
      <c r="G37" s="90"/>
      <c r="H37" s="90"/>
      <c r="M37" s="53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3"/>
      <c r="AK37" s="53"/>
      <c r="AL37" s="53"/>
      <c r="AM37" s="53"/>
      <c r="AN37" s="53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</sheetData>
  <mergeCells count="6">
    <mergeCell ref="AO21:AO22"/>
    <mergeCell ref="A1:K1"/>
    <mergeCell ref="B3:B10"/>
    <mergeCell ref="B11:B15"/>
    <mergeCell ref="B16:B18"/>
    <mergeCell ref="B19:B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9D80-40DE-4871-96E2-05006A77E0F2}">
  <sheetPr>
    <pageSetUpPr fitToPage="1"/>
  </sheetPr>
  <dimension ref="A1:BB37"/>
  <sheetViews>
    <sheetView workbookViewId="0">
      <pane xSplit="13" ySplit="2" topLeftCell="N3" activePane="bottomRight" state="frozen"/>
      <selection activeCell="W8" sqref="W8"/>
      <selection pane="topRight" activeCell="W8" sqref="W8"/>
      <selection pane="bottomLeft" activeCell="W8" sqref="W8"/>
      <selection pane="bottomRight" activeCell="E6" sqref="E6"/>
    </sheetView>
  </sheetViews>
  <sheetFormatPr defaultColWidth="9" defaultRowHeight="17.399999999999999" x14ac:dyDescent="0.25"/>
  <cols>
    <col min="1" max="1" width="5.69921875" style="52" customWidth="1"/>
    <col min="2" max="2" width="15.5" style="52" customWidth="1"/>
    <col min="3" max="3" width="11.5" style="52" customWidth="1"/>
    <col min="4" max="4" width="12.69921875" style="89" customWidth="1"/>
    <col min="5" max="5" width="9.59765625" style="90" customWidth="1"/>
    <col min="6" max="6" width="9.09765625" style="90" customWidth="1"/>
    <col min="7" max="7" width="7.19921875" style="90" customWidth="1"/>
    <col min="8" max="8" width="7.69921875" style="90" customWidth="1"/>
    <col min="9" max="9" width="11.3984375" style="52" customWidth="1"/>
    <col min="10" max="10" width="7.3984375" style="52" customWidth="1"/>
    <col min="11" max="11" width="8.3984375" style="52" customWidth="1"/>
    <col min="12" max="12" width="9.8984375" style="52" customWidth="1"/>
    <col min="13" max="13" width="9.5" style="53" customWidth="1"/>
    <col min="14" max="19" width="8.5" style="54" customWidth="1"/>
    <col min="20" max="34" width="9.5" style="54" customWidth="1"/>
    <col min="35" max="35" width="13.8984375" style="53" bestFit="1" customWidth="1"/>
    <col min="36" max="36" width="9.5" style="53" hidden="1" customWidth="1"/>
    <col min="37" max="37" width="11.59765625" style="53" hidden="1" customWidth="1"/>
    <col min="38" max="38" width="5.5" style="53" hidden="1" customWidth="1"/>
    <col min="39" max="39" width="9.5" style="53" bestFit="1" customWidth="1"/>
    <col min="40" max="40" width="22.5" style="52" customWidth="1"/>
    <col min="41" max="16384" width="9" style="55"/>
  </cols>
  <sheetData>
    <row r="1" spans="1:43" ht="45" customHeight="1" x14ac:dyDescent="0.25">
      <c r="A1" s="132" t="s">
        <v>127</v>
      </c>
      <c r="B1" s="133"/>
      <c r="C1" s="134"/>
      <c r="D1" s="134"/>
      <c r="E1" s="134"/>
      <c r="F1" s="134"/>
      <c r="G1" s="134"/>
      <c r="H1" s="134"/>
      <c r="I1" s="134"/>
      <c r="J1" s="134"/>
      <c r="K1" s="134"/>
    </row>
    <row r="2" spans="1:43" s="64" customFormat="1" ht="52.2" x14ac:dyDescent="0.25">
      <c r="A2" s="56" t="s">
        <v>78</v>
      </c>
      <c r="B2" s="57" t="s">
        <v>117</v>
      </c>
      <c r="C2" s="56" t="s">
        <v>3</v>
      </c>
      <c r="D2" s="58" t="s">
        <v>88</v>
      </c>
      <c r="E2" s="57" t="s">
        <v>79</v>
      </c>
      <c r="F2" s="57" t="s">
        <v>80</v>
      </c>
      <c r="G2" s="57" t="s">
        <v>81</v>
      </c>
      <c r="H2" s="57" t="s">
        <v>82</v>
      </c>
      <c r="I2" s="59" t="s">
        <v>83</v>
      </c>
      <c r="J2" s="59" t="s">
        <v>84</v>
      </c>
      <c r="K2" s="56" t="s">
        <v>5</v>
      </c>
      <c r="L2" s="98" t="s">
        <v>118</v>
      </c>
      <c r="M2" s="61" t="s">
        <v>119</v>
      </c>
      <c r="N2" s="62">
        <v>46113</v>
      </c>
      <c r="O2" s="62">
        <v>46114</v>
      </c>
      <c r="P2" s="62">
        <v>46115</v>
      </c>
      <c r="Q2" s="62">
        <v>46119</v>
      </c>
      <c r="R2" s="62">
        <v>46120</v>
      </c>
      <c r="S2" s="62">
        <v>46121</v>
      </c>
      <c r="T2" s="62">
        <v>46122</v>
      </c>
      <c r="U2" s="62">
        <v>46125</v>
      </c>
      <c r="V2" s="62">
        <v>46126</v>
      </c>
      <c r="W2" s="62">
        <v>46127</v>
      </c>
      <c r="X2" s="62">
        <v>46128</v>
      </c>
      <c r="Y2" s="62">
        <v>46129</v>
      </c>
      <c r="Z2" s="62">
        <v>46132</v>
      </c>
      <c r="AA2" s="62">
        <v>46133</v>
      </c>
      <c r="AB2" s="62">
        <v>46134</v>
      </c>
      <c r="AC2" s="62">
        <v>46135</v>
      </c>
      <c r="AD2" s="62">
        <v>46136</v>
      </c>
      <c r="AE2" s="62">
        <v>46139</v>
      </c>
      <c r="AF2" s="62">
        <v>46140</v>
      </c>
      <c r="AG2" s="62">
        <v>46141</v>
      </c>
      <c r="AH2" s="62">
        <v>46142</v>
      </c>
      <c r="AI2" s="61" t="s">
        <v>135</v>
      </c>
      <c r="AJ2" s="61" t="s">
        <v>112</v>
      </c>
      <c r="AK2" s="61" t="s">
        <v>120</v>
      </c>
      <c r="AL2" s="61" t="s">
        <v>124</v>
      </c>
      <c r="AM2" s="61" t="s">
        <v>136</v>
      </c>
      <c r="AN2" s="63" t="s">
        <v>105</v>
      </c>
    </row>
    <row r="3" spans="1:43" s="64" customFormat="1" ht="20.100000000000001" customHeight="1" x14ac:dyDescent="0.25">
      <c r="A3" s="100">
        <v>1</v>
      </c>
      <c r="B3" s="135" t="s">
        <v>110</v>
      </c>
      <c r="C3" s="99" t="s">
        <v>85</v>
      </c>
      <c r="D3" s="67" t="s">
        <v>89</v>
      </c>
      <c r="E3" s="99">
        <v>7.85</v>
      </c>
      <c r="F3" s="100">
        <v>2.5</v>
      </c>
      <c r="G3" s="100">
        <v>1510</v>
      </c>
      <c r="H3" s="100">
        <v>3000</v>
      </c>
      <c r="I3" s="100" t="s">
        <v>122</v>
      </c>
      <c r="J3" s="68">
        <f t="shared" ref="J3:J23" si="0">F3/1000*G3/1000*H3/1000*E3*1000</f>
        <v>88.901250000000005</v>
      </c>
      <c r="K3" s="68" t="s">
        <v>9</v>
      </c>
      <c r="L3" s="63">
        <v>4000</v>
      </c>
      <c r="M3" s="69">
        <f>L3+200</f>
        <v>4200</v>
      </c>
      <c r="N3" s="70">
        <v>3460</v>
      </c>
      <c r="O3" s="70">
        <v>3450</v>
      </c>
      <c r="P3" s="70">
        <v>3450</v>
      </c>
      <c r="Q3" s="70">
        <v>3440</v>
      </c>
      <c r="R3" s="70">
        <v>3440</v>
      </c>
      <c r="S3" s="70">
        <v>3450</v>
      </c>
      <c r="T3" s="70">
        <v>3450</v>
      </c>
      <c r="U3" s="70">
        <v>3450</v>
      </c>
      <c r="V3" s="70">
        <v>3460</v>
      </c>
      <c r="W3" s="70">
        <v>3460</v>
      </c>
      <c r="X3" s="70">
        <v>3480</v>
      </c>
      <c r="Y3" s="70">
        <v>3490</v>
      </c>
      <c r="Z3" s="70">
        <v>3500</v>
      </c>
      <c r="AA3" s="70">
        <v>3530</v>
      </c>
      <c r="AB3" s="70">
        <v>3530</v>
      </c>
      <c r="AC3" s="70">
        <v>3560</v>
      </c>
      <c r="AD3" s="70">
        <v>3560</v>
      </c>
      <c r="AE3" s="70">
        <v>3570</v>
      </c>
      <c r="AF3" s="70">
        <v>3560</v>
      </c>
      <c r="AG3" s="70">
        <v>3560</v>
      </c>
      <c r="AH3" s="70">
        <v>3590</v>
      </c>
      <c r="AI3" s="69">
        <f t="shared" ref="AI3:AI23" si="1">ROUND(AVERAGE(N3:AH3),0)</f>
        <v>3497</v>
      </c>
      <c r="AJ3" s="69">
        <f t="shared" ref="AJ3:AJ14" si="2">M3</f>
        <v>4200</v>
      </c>
      <c r="AK3" s="69">
        <v>4230</v>
      </c>
      <c r="AL3" s="69"/>
      <c r="AM3" s="69">
        <f>AI3+AL3+250</f>
        <v>3747</v>
      </c>
      <c r="AN3" s="63"/>
    </row>
    <row r="4" spans="1:43" s="64" customFormat="1" ht="20.100000000000001" customHeight="1" x14ac:dyDescent="0.25">
      <c r="A4" s="100">
        <v>2</v>
      </c>
      <c r="B4" s="136"/>
      <c r="C4" s="99" t="s">
        <v>85</v>
      </c>
      <c r="D4" s="67" t="s">
        <v>97</v>
      </c>
      <c r="E4" s="99">
        <v>7.85</v>
      </c>
      <c r="F4" s="100">
        <v>3</v>
      </c>
      <c r="G4" s="100">
        <v>1500</v>
      </c>
      <c r="H4" s="100">
        <v>3000</v>
      </c>
      <c r="I4" s="100" t="s">
        <v>122</v>
      </c>
      <c r="J4" s="68">
        <f t="shared" si="0"/>
        <v>105.97499999999998</v>
      </c>
      <c r="K4" s="68" t="s">
        <v>9</v>
      </c>
      <c r="L4" s="63">
        <v>3940</v>
      </c>
      <c r="M4" s="69">
        <f>L4+200</f>
        <v>4140</v>
      </c>
      <c r="N4" s="70">
        <v>3440</v>
      </c>
      <c r="O4" s="70">
        <v>3430</v>
      </c>
      <c r="P4" s="70">
        <v>3430</v>
      </c>
      <c r="Q4" s="70">
        <v>3420</v>
      </c>
      <c r="R4" s="70">
        <v>3420</v>
      </c>
      <c r="S4" s="70">
        <v>3430</v>
      </c>
      <c r="T4" s="70">
        <v>3430</v>
      </c>
      <c r="U4" s="70">
        <v>3430</v>
      </c>
      <c r="V4" s="70">
        <v>3440</v>
      </c>
      <c r="W4" s="70">
        <v>3440</v>
      </c>
      <c r="X4" s="70">
        <v>3460</v>
      </c>
      <c r="Y4" s="70">
        <v>3470</v>
      </c>
      <c r="Z4" s="70">
        <v>3480</v>
      </c>
      <c r="AA4" s="70">
        <v>3510</v>
      </c>
      <c r="AB4" s="70">
        <v>3510</v>
      </c>
      <c r="AC4" s="70">
        <v>3540</v>
      </c>
      <c r="AD4" s="70">
        <v>3540</v>
      </c>
      <c r="AE4" s="70">
        <v>3550</v>
      </c>
      <c r="AF4" s="70">
        <v>3540</v>
      </c>
      <c r="AG4" s="70">
        <v>3540</v>
      </c>
      <c r="AH4" s="70">
        <v>3570</v>
      </c>
      <c r="AI4" s="69">
        <f t="shared" si="1"/>
        <v>3477</v>
      </c>
      <c r="AJ4" s="69">
        <f t="shared" si="2"/>
        <v>4140</v>
      </c>
      <c r="AK4" s="69">
        <v>4180</v>
      </c>
      <c r="AL4" s="69"/>
      <c r="AM4" s="69">
        <f t="shared" ref="AM4:AM22" si="3">AI4+AL4+250</f>
        <v>3727</v>
      </c>
      <c r="AN4" s="63"/>
    </row>
    <row r="5" spans="1:43" s="64" customFormat="1" ht="20.100000000000001" customHeight="1" x14ac:dyDescent="0.25">
      <c r="A5" s="100">
        <v>3</v>
      </c>
      <c r="B5" s="136"/>
      <c r="C5" s="99" t="s">
        <v>85</v>
      </c>
      <c r="D5" s="67" t="s">
        <v>90</v>
      </c>
      <c r="E5" s="99">
        <v>7.85</v>
      </c>
      <c r="F5" s="100">
        <v>4</v>
      </c>
      <c r="G5" s="100">
        <v>1510</v>
      </c>
      <c r="H5" s="100">
        <v>3000</v>
      </c>
      <c r="I5" s="100" t="s">
        <v>122</v>
      </c>
      <c r="J5" s="68">
        <f t="shared" si="0"/>
        <v>142.24200000000002</v>
      </c>
      <c r="K5" s="68" t="s">
        <v>9</v>
      </c>
      <c r="L5" s="63">
        <v>3930</v>
      </c>
      <c r="M5" s="69">
        <f t="shared" ref="M5:M23" si="4">L5+200</f>
        <v>4130</v>
      </c>
      <c r="N5" s="70">
        <v>3360</v>
      </c>
      <c r="O5" s="70">
        <v>3350</v>
      </c>
      <c r="P5" s="70">
        <v>3350</v>
      </c>
      <c r="Q5" s="70">
        <v>3340</v>
      </c>
      <c r="R5" s="70">
        <v>3340</v>
      </c>
      <c r="S5" s="70">
        <v>3350</v>
      </c>
      <c r="T5" s="70">
        <v>3350</v>
      </c>
      <c r="U5" s="70">
        <v>3350</v>
      </c>
      <c r="V5" s="70">
        <v>3360</v>
      </c>
      <c r="W5" s="70">
        <v>3360</v>
      </c>
      <c r="X5" s="70">
        <v>3380</v>
      </c>
      <c r="Y5" s="70">
        <v>3390</v>
      </c>
      <c r="Z5" s="70">
        <v>3400</v>
      </c>
      <c r="AA5" s="70">
        <v>3430</v>
      </c>
      <c r="AB5" s="70">
        <v>3430</v>
      </c>
      <c r="AC5" s="70">
        <v>3460</v>
      </c>
      <c r="AD5" s="70">
        <v>3460</v>
      </c>
      <c r="AE5" s="70">
        <v>3470</v>
      </c>
      <c r="AF5" s="70">
        <v>3460</v>
      </c>
      <c r="AG5" s="70">
        <v>3460</v>
      </c>
      <c r="AH5" s="70">
        <v>3490</v>
      </c>
      <c r="AI5" s="69">
        <f t="shared" si="1"/>
        <v>3397</v>
      </c>
      <c r="AJ5" s="69">
        <f t="shared" si="2"/>
        <v>4130</v>
      </c>
      <c r="AK5" s="69">
        <v>4160</v>
      </c>
      <c r="AL5" s="69"/>
      <c r="AM5" s="69">
        <f t="shared" si="3"/>
        <v>3647</v>
      </c>
      <c r="AN5" s="63"/>
    </row>
    <row r="6" spans="1:43" s="64" customFormat="1" ht="20.100000000000001" customHeight="1" x14ac:dyDescent="0.25">
      <c r="A6" s="100">
        <v>4</v>
      </c>
      <c r="B6" s="136"/>
      <c r="C6" s="99" t="s">
        <v>85</v>
      </c>
      <c r="D6" s="67" t="s">
        <v>91</v>
      </c>
      <c r="E6" s="99">
        <v>7.85</v>
      </c>
      <c r="F6" s="100">
        <v>4.75</v>
      </c>
      <c r="G6" s="100">
        <v>1510</v>
      </c>
      <c r="H6" s="100">
        <v>3000</v>
      </c>
      <c r="I6" s="100" t="s">
        <v>122</v>
      </c>
      <c r="J6" s="68">
        <f t="shared" si="0"/>
        <v>168.91237499999997</v>
      </c>
      <c r="K6" s="68" t="s">
        <v>9</v>
      </c>
      <c r="L6" s="63">
        <v>3860</v>
      </c>
      <c r="M6" s="69">
        <f t="shared" si="4"/>
        <v>4060</v>
      </c>
      <c r="N6" s="71">
        <v>3320</v>
      </c>
      <c r="O6" s="71">
        <v>3310</v>
      </c>
      <c r="P6" s="71">
        <v>3310</v>
      </c>
      <c r="Q6" s="71">
        <v>3300</v>
      </c>
      <c r="R6" s="71">
        <v>3300</v>
      </c>
      <c r="S6" s="71">
        <v>3310</v>
      </c>
      <c r="T6" s="71">
        <v>3310</v>
      </c>
      <c r="U6" s="71">
        <v>3310</v>
      </c>
      <c r="V6" s="71">
        <v>3320</v>
      </c>
      <c r="W6" s="71">
        <v>3320</v>
      </c>
      <c r="X6" s="71">
        <v>3340</v>
      </c>
      <c r="Y6" s="71">
        <v>3350</v>
      </c>
      <c r="Z6" s="71">
        <v>3360</v>
      </c>
      <c r="AA6" s="71">
        <v>3390</v>
      </c>
      <c r="AB6" s="71">
        <v>3390</v>
      </c>
      <c r="AC6" s="71">
        <v>3420</v>
      </c>
      <c r="AD6" s="71">
        <v>3420</v>
      </c>
      <c r="AE6" s="71">
        <v>3430</v>
      </c>
      <c r="AF6" s="71">
        <v>3420</v>
      </c>
      <c r="AG6" s="71">
        <v>3420</v>
      </c>
      <c r="AH6" s="71">
        <v>3450</v>
      </c>
      <c r="AI6" s="69">
        <f t="shared" si="1"/>
        <v>3357</v>
      </c>
      <c r="AJ6" s="69">
        <f t="shared" si="2"/>
        <v>4060</v>
      </c>
      <c r="AK6" s="69">
        <v>4090</v>
      </c>
      <c r="AL6" s="69"/>
      <c r="AM6" s="69">
        <f>AI6+AL6+250</f>
        <v>3607</v>
      </c>
      <c r="AN6" s="63"/>
    </row>
    <row r="7" spans="1:43" s="64" customFormat="1" ht="20.100000000000001" customHeight="1" x14ac:dyDescent="0.25">
      <c r="A7" s="100">
        <v>5</v>
      </c>
      <c r="B7" s="136"/>
      <c r="C7" s="99" t="s">
        <v>85</v>
      </c>
      <c r="D7" s="67" t="s">
        <v>92</v>
      </c>
      <c r="E7" s="99">
        <v>7.85</v>
      </c>
      <c r="F7" s="100">
        <v>5.75</v>
      </c>
      <c r="G7" s="100">
        <v>1510</v>
      </c>
      <c r="H7" s="100">
        <v>3000</v>
      </c>
      <c r="I7" s="100" t="s">
        <v>122</v>
      </c>
      <c r="J7" s="68">
        <f t="shared" si="0"/>
        <v>204.47287499999996</v>
      </c>
      <c r="K7" s="68" t="s">
        <v>9</v>
      </c>
      <c r="L7" s="63">
        <v>3860</v>
      </c>
      <c r="M7" s="69">
        <f t="shared" si="4"/>
        <v>4060</v>
      </c>
      <c r="N7" s="71">
        <f>N6</f>
        <v>3320</v>
      </c>
      <c r="O7" s="71">
        <f t="shared" ref="O7:AH7" si="5">O6</f>
        <v>3310</v>
      </c>
      <c r="P7" s="71">
        <f t="shared" si="5"/>
        <v>3310</v>
      </c>
      <c r="Q7" s="71">
        <f t="shared" si="5"/>
        <v>3300</v>
      </c>
      <c r="R7" s="71">
        <f t="shared" si="5"/>
        <v>3300</v>
      </c>
      <c r="S7" s="71">
        <f t="shared" si="5"/>
        <v>3310</v>
      </c>
      <c r="T7" s="71">
        <f t="shared" si="5"/>
        <v>3310</v>
      </c>
      <c r="U7" s="71">
        <f t="shared" si="5"/>
        <v>3310</v>
      </c>
      <c r="V7" s="71">
        <f t="shared" si="5"/>
        <v>3320</v>
      </c>
      <c r="W7" s="71">
        <f t="shared" si="5"/>
        <v>3320</v>
      </c>
      <c r="X7" s="71">
        <f t="shared" si="5"/>
        <v>3340</v>
      </c>
      <c r="Y7" s="71">
        <f t="shared" si="5"/>
        <v>3350</v>
      </c>
      <c r="Z7" s="71">
        <f t="shared" si="5"/>
        <v>3360</v>
      </c>
      <c r="AA7" s="71">
        <f t="shared" si="5"/>
        <v>3390</v>
      </c>
      <c r="AB7" s="71">
        <f t="shared" si="5"/>
        <v>3390</v>
      </c>
      <c r="AC7" s="71">
        <f t="shared" si="5"/>
        <v>3420</v>
      </c>
      <c r="AD7" s="71">
        <f t="shared" si="5"/>
        <v>3420</v>
      </c>
      <c r="AE7" s="71">
        <f t="shared" si="5"/>
        <v>3430</v>
      </c>
      <c r="AF7" s="71">
        <f t="shared" si="5"/>
        <v>3420</v>
      </c>
      <c r="AG7" s="71">
        <f t="shared" si="5"/>
        <v>3420</v>
      </c>
      <c r="AH7" s="71">
        <f t="shared" si="5"/>
        <v>3450</v>
      </c>
      <c r="AI7" s="69">
        <f t="shared" si="1"/>
        <v>3357</v>
      </c>
      <c r="AJ7" s="69">
        <f t="shared" si="2"/>
        <v>4060</v>
      </c>
      <c r="AK7" s="69">
        <v>4090</v>
      </c>
      <c r="AL7" s="69"/>
      <c r="AM7" s="69">
        <f t="shared" si="3"/>
        <v>3607</v>
      </c>
      <c r="AN7" s="63"/>
    </row>
    <row r="8" spans="1:43" s="64" customFormat="1" ht="20.100000000000001" customHeight="1" x14ac:dyDescent="0.25">
      <c r="A8" s="100">
        <v>6</v>
      </c>
      <c r="B8" s="136"/>
      <c r="C8" s="99" t="s">
        <v>85</v>
      </c>
      <c r="D8" s="67" t="s">
        <v>93</v>
      </c>
      <c r="E8" s="99">
        <v>7.85</v>
      </c>
      <c r="F8" s="100">
        <v>7.75</v>
      </c>
      <c r="G8" s="100">
        <v>1510</v>
      </c>
      <c r="H8" s="100">
        <v>3000</v>
      </c>
      <c r="I8" s="100" t="s">
        <v>122</v>
      </c>
      <c r="J8" s="68">
        <f t="shared" si="0"/>
        <v>275.59387499999997</v>
      </c>
      <c r="K8" s="68" t="s">
        <v>9</v>
      </c>
      <c r="L8" s="63">
        <v>3860</v>
      </c>
      <c r="M8" s="69">
        <f t="shared" si="4"/>
        <v>4060</v>
      </c>
      <c r="N8" s="71">
        <f>N6</f>
        <v>3320</v>
      </c>
      <c r="O8" s="71">
        <f t="shared" ref="O8:AH8" si="6">O6</f>
        <v>3310</v>
      </c>
      <c r="P8" s="71">
        <f t="shared" si="6"/>
        <v>3310</v>
      </c>
      <c r="Q8" s="71">
        <f t="shared" si="6"/>
        <v>3300</v>
      </c>
      <c r="R8" s="71">
        <f t="shared" si="6"/>
        <v>3300</v>
      </c>
      <c r="S8" s="71">
        <f t="shared" si="6"/>
        <v>3310</v>
      </c>
      <c r="T8" s="71">
        <f t="shared" si="6"/>
        <v>3310</v>
      </c>
      <c r="U8" s="71">
        <f t="shared" si="6"/>
        <v>3310</v>
      </c>
      <c r="V8" s="71">
        <f t="shared" si="6"/>
        <v>3320</v>
      </c>
      <c r="W8" s="71">
        <f t="shared" si="6"/>
        <v>3320</v>
      </c>
      <c r="X8" s="71">
        <f t="shared" si="6"/>
        <v>3340</v>
      </c>
      <c r="Y8" s="71">
        <f t="shared" si="6"/>
        <v>3350</v>
      </c>
      <c r="Z8" s="71">
        <f t="shared" si="6"/>
        <v>3360</v>
      </c>
      <c r="AA8" s="71">
        <f t="shared" si="6"/>
        <v>3390</v>
      </c>
      <c r="AB8" s="71">
        <f t="shared" si="6"/>
        <v>3390</v>
      </c>
      <c r="AC8" s="71">
        <f t="shared" si="6"/>
        <v>3420</v>
      </c>
      <c r="AD8" s="71">
        <f t="shared" si="6"/>
        <v>3420</v>
      </c>
      <c r="AE8" s="71">
        <f t="shared" si="6"/>
        <v>3430</v>
      </c>
      <c r="AF8" s="71">
        <f t="shared" si="6"/>
        <v>3420</v>
      </c>
      <c r="AG8" s="71">
        <f t="shared" si="6"/>
        <v>3420</v>
      </c>
      <c r="AH8" s="71">
        <f t="shared" si="6"/>
        <v>3450</v>
      </c>
      <c r="AI8" s="69">
        <f t="shared" si="1"/>
        <v>3357</v>
      </c>
      <c r="AJ8" s="69">
        <f t="shared" si="2"/>
        <v>4060</v>
      </c>
      <c r="AK8" s="69">
        <v>4090</v>
      </c>
      <c r="AL8" s="69"/>
      <c r="AM8" s="69">
        <f t="shared" si="3"/>
        <v>3607</v>
      </c>
      <c r="AN8" s="63"/>
    </row>
    <row r="9" spans="1:43" s="64" customFormat="1" ht="20.100000000000001" customHeight="1" x14ac:dyDescent="0.25">
      <c r="A9" s="100">
        <v>7</v>
      </c>
      <c r="B9" s="136"/>
      <c r="C9" s="99" t="s">
        <v>85</v>
      </c>
      <c r="D9" s="67" t="s">
        <v>94</v>
      </c>
      <c r="E9" s="99">
        <v>7.85</v>
      </c>
      <c r="F9" s="100">
        <v>9.75</v>
      </c>
      <c r="G9" s="100">
        <v>1510</v>
      </c>
      <c r="H9" s="100">
        <v>3000</v>
      </c>
      <c r="I9" s="100" t="s">
        <v>122</v>
      </c>
      <c r="J9" s="68">
        <f t="shared" si="0"/>
        <v>346.71487500000001</v>
      </c>
      <c r="K9" s="68" t="s">
        <v>9</v>
      </c>
      <c r="L9" s="63">
        <v>3860</v>
      </c>
      <c r="M9" s="69">
        <f t="shared" si="4"/>
        <v>4060</v>
      </c>
      <c r="N9" s="71">
        <f>N6</f>
        <v>3320</v>
      </c>
      <c r="O9" s="71">
        <f t="shared" ref="O9:AH9" si="7">O6</f>
        <v>3310</v>
      </c>
      <c r="P9" s="71">
        <f t="shared" si="7"/>
        <v>3310</v>
      </c>
      <c r="Q9" s="71">
        <f t="shared" si="7"/>
        <v>3300</v>
      </c>
      <c r="R9" s="71">
        <f t="shared" si="7"/>
        <v>3300</v>
      </c>
      <c r="S9" s="71">
        <f t="shared" si="7"/>
        <v>3310</v>
      </c>
      <c r="T9" s="71">
        <f t="shared" si="7"/>
        <v>3310</v>
      </c>
      <c r="U9" s="71">
        <f t="shared" si="7"/>
        <v>3310</v>
      </c>
      <c r="V9" s="71">
        <f t="shared" si="7"/>
        <v>3320</v>
      </c>
      <c r="W9" s="71">
        <f t="shared" si="7"/>
        <v>3320</v>
      </c>
      <c r="X9" s="71">
        <f t="shared" si="7"/>
        <v>3340</v>
      </c>
      <c r="Y9" s="71">
        <f t="shared" si="7"/>
        <v>3350</v>
      </c>
      <c r="Z9" s="71">
        <f t="shared" si="7"/>
        <v>3360</v>
      </c>
      <c r="AA9" s="71">
        <f t="shared" si="7"/>
        <v>3390</v>
      </c>
      <c r="AB9" s="71">
        <f t="shared" si="7"/>
        <v>3390</v>
      </c>
      <c r="AC9" s="71">
        <f t="shared" si="7"/>
        <v>3420</v>
      </c>
      <c r="AD9" s="71">
        <f t="shared" si="7"/>
        <v>3420</v>
      </c>
      <c r="AE9" s="71">
        <f t="shared" si="7"/>
        <v>3430</v>
      </c>
      <c r="AF9" s="71">
        <f t="shared" si="7"/>
        <v>3420</v>
      </c>
      <c r="AG9" s="71">
        <f t="shared" si="7"/>
        <v>3420</v>
      </c>
      <c r="AH9" s="71">
        <f t="shared" si="7"/>
        <v>3450</v>
      </c>
      <c r="AI9" s="69">
        <f t="shared" si="1"/>
        <v>3357</v>
      </c>
      <c r="AJ9" s="69">
        <f t="shared" si="2"/>
        <v>4060</v>
      </c>
      <c r="AK9" s="69">
        <v>4090</v>
      </c>
      <c r="AL9" s="69"/>
      <c r="AM9" s="69">
        <f t="shared" si="3"/>
        <v>3607</v>
      </c>
      <c r="AN9" s="63"/>
    </row>
    <row r="10" spans="1:43" s="64" customFormat="1" ht="20.100000000000001" customHeight="1" x14ac:dyDescent="0.25">
      <c r="A10" s="100">
        <v>8</v>
      </c>
      <c r="B10" s="136"/>
      <c r="C10" s="99" t="s">
        <v>109</v>
      </c>
      <c r="D10" s="67"/>
      <c r="E10" s="99">
        <v>7.85</v>
      </c>
      <c r="F10" s="99">
        <v>11.75</v>
      </c>
      <c r="G10" s="99">
        <v>1510</v>
      </c>
      <c r="H10" s="99">
        <v>3000</v>
      </c>
      <c r="I10" s="100" t="s">
        <v>122</v>
      </c>
      <c r="J10" s="68">
        <f t="shared" si="0"/>
        <v>417.83587500000004</v>
      </c>
      <c r="K10" s="68" t="s">
        <v>9</v>
      </c>
      <c r="L10" s="63">
        <v>3860</v>
      </c>
      <c r="M10" s="69">
        <f t="shared" si="4"/>
        <v>4060</v>
      </c>
      <c r="N10" s="71">
        <f>N6</f>
        <v>3320</v>
      </c>
      <c r="O10" s="71">
        <f t="shared" ref="O10:AH10" si="8">O6</f>
        <v>3310</v>
      </c>
      <c r="P10" s="71">
        <f t="shared" si="8"/>
        <v>3310</v>
      </c>
      <c r="Q10" s="71">
        <f t="shared" si="8"/>
        <v>3300</v>
      </c>
      <c r="R10" s="71">
        <f t="shared" si="8"/>
        <v>3300</v>
      </c>
      <c r="S10" s="71">
        <f t="shared" si="8"/>
        <v>3310</v>
      </c>
      <c r="T10" s="71">
        <f t="shared" si="8"/>
        <v>3310</v>
      </c>
      <c r="U10" s="71">
        <f t="shared" si="8"/>
        <v>3310</v>
      </c>
      <c r="V10" s="71">
        <f t="shared" si="8"/>
        <v>3320</v>
      </c>
      <c r="W10" s="71">
        <f t="shared" si="8"/>
        <v>3320</v>
      </c>
      <c r="X10" s="71">
        <f t="shared" si="8"/>
        <v>3340</v>
      </c>
      <c r="Y10" s="71">
        <f t="shared" si="8"/>
        <v>3350</v>
      </c>
      <c r="Z10" s="71">
        <f t="shared" si="8"/>
        <v>3360</v>
      </c>
      <c r="AA10" s="71">
        <f t="shared" si="8"/>
        <v>3390</v>
      </c>
      <c r="AB10" s="71">
        <f t="shared" si="8"/>
        <v>3390</v>
      </c>
      <c r="AC10" s="71">
        <f t="shared" si="8"/>
        <v>3420</v>
      </c>
      <c r="AD10" s="71">
        <f t="shared" si="8"/>
        <v>3420</v>
      </c>
      <c r="AE10" s="71">
        <f t="shared" si="8"/>
        <v>3430</v>
      </c>
      <c r="AF10" s="71">
        <f t="shared" si="8"/>
        <v>3420</v>
      </c>
      <c r="AG10" s="71">
        <f t="shared" si="8"/>
        <v>3420</v>
      </c>
      <c r="AH10" s="71">
        <f t="shared" si="8"/>
        <v>3450</v>
      </c>
      <c r="AI10" s="69">
        <f t="shared" si="1"/>
        <v>3357</v>
      </c>
      <c r="AJ10" s="69">
        <f t="shared" si="2"/>
        <v>4060</v>
      </c>
      <c r="AK10" s="69">
        <v>4090</v>
      </c>
      <c r="AL10" s="69"/>
      <c r="AM10" s="69">
        <f t="shared" si="3"/>
        <v>3607</v>
      </c>
      <c r="AN10" s="63"/>
    </row>
    <row r="11" spans="1:43" s="76" customFormat="1" ht="20.100000000000001" customHeight="1" x14ac:dyDescent="0.25">
      <c r="A11" s="102">
        <v>9</v>
      </c>
      <c r="B11" s="137" t="s">
        <v>111</v>
      </c>
      <c r="C11" s="101" t="s">
        <v>107</v>
      </c>
      <c r="D11" s="74" t="s">
        <v>95</v>
      </c>
      <c r="E11" s="101">
        <v>7.85</v>
      </c>
      <c r="F11" s="101">
        <v>1</v>
      </c>
      <c r="G11" s="101">
        <v>1250</v>
      </c>
      <c r="H11" s="101">
        <v>2500</v>
      </c>
      <c r="I11" s="102" t="s">
        <v>123</v>
      </c>
      <c r="J11" s="75">
        <f t="shared" si="0"/>
        <v>24.53125</v>
      </c>
      <c r="K11" s="75" t="s">
        <v>9</v>
      </c>
      <c r="L11" s="63">
        <v>4430</v>
      </c>
      <c r="M11" s="69">
        <f t="shared" si="4"/>
        <v>4630</v>
      </c>
      <c r="N11" s="70">
        <v>3920</v>
      </c>
      <c r="O11" s="70">
        <v>3920</v>
      </c>
      <c r="P11" s="70">
        <v>3920</v>
      </c>
      <c r="Q11" s="70">
        <v>3920</v>
      </c>
      <c r="R11" s="70">
        <v>3920</v>
      </c>
      <c r="S11" s="70">
        <v>3920</v>
      </c>
      <c r="T11" s="70">
        <v>3920</v>
      </c>
      <c r="U11" s="70">
        <v>3920</v>
      </c>
      <c r="V11" s="70">
        <v>3920</v>
      </c>
      <c r="W11" s="70">
        <v>3920</v>
      </c>
      <c r="X11" s="70">
        <v>3920</v>
      </c>
      <c r="Y11" s="70">
        <v>3940</v>
      </c>
      <c r="Z11" s="70">
        <v>3940</v>
      </c>
      <c r="AA11" s="70">
        <v>3940</v>
      </c>
      <c r="AB11" s="70">
        <v>3940</v>
      </c>
      <c r="AC11" s="70">
        <v>3940</v>
      </c>
      <c r="AD11" s="70">
        <v>3950</v>
      </c>
      <c r="AE11" s="70">
        <v>3950</v>
      </c>
      <c r="AF11" s="70">
        <v>3950</v>
      </c>
      <c r="AG11" s="70">
        <v>3950</v>
      </c>
      <c r="AH11" s="70">
        <v>3950</v>
      </c>
      <c r="AI11" s="69">
        <f t="shared" si="1"/>
        <v>3932</v>
      </c>
      <c r="AJ11" s="69">
        <f t="shared" si="2"/>
        <v>4630</v>
      </c>
      <c r="AK11" s="69">
        <v>4450</v>
      </c>
      <c r="AL11" s="69">
        <v>200</v>
      </c>
      <c r="AM11" s="69">
        <f t="shared" si="3"/>
        <v>4382</v>
      </c>
      <c r="AN11" s="63"/>
      <c r="AQ11" s="64"/>
    </row>
    <row r="12" spans="1:43" s="76" customFormat="1" ht="20.100000000000001" customHeight="1" x14ac:dyDescent="0.25">
      <c r="A12" s="102">
        <v>10</v>
      </c>
      <c r="B12" s="138"/>
      <c r="C12" s="101" t="s">
        <v>107</v>
      </c>
      <c r="D12" s="74"/>
      <c r="E12" s="101">
        <v>7.85</v>
      </c>
      <c r="F12" s="102">
        <v>1.5</v>
      </c>
      <c r="G12" s="102">
        <v>1250</v>
      </c>
      <c r="H12" s="102">
        <v>2500</v>
      </c>
      <c r="I12" s="102" t="s">
        <v>123</v>
      </c>
      <c r="J12" s="75">
        <f t="shared" si="0"/>
        <v>36.796875</v>
      </c>
      <c r="K12" s="75" t="s">
        <v>9</v>
      </c>
      <c r="L12" s="63">
        <v>4380</v>
      </c>
      <c r="M12" s="69">
        <f t="shared" si="4"/>
        <v>4580</v>
      </c>
      <c r="N12" s="70">
        <v>3870</v>
      </c>
      <c r="O12" s="70">
        <v>3870</v>
      </c>
      <c r="P12" s="70">
        <v>3870</v>
      </c>
      <c r="Q12" s="70">
        <v>3870</v>
      </c>
      <c r="R12" s="70">
        <v>3870</v>
      </c>
      <c r="S12" s="70">
        <v>3870</v>
      </c>
      <c r="T12" s="70">
        <v>3870</v>
      </c>
      <c r="U12" s="70">
        <v>3870</v>
      </c>
      <c r="V12" s="70">
        <v>3870</v>
      </c>
      <c r="W12" s="70">
        <v>3870</v>
      </c>
      <c r="X12" s="70">
        <v>3870</v>
      </c>
      <c r="Y12" s="70">
        <v>3890</v>
      </c>
      <c r="Z12" s="70">
        <v>3890</v>
      </c>
      <c r="AA12" s="70">
        <v>3890</v>
      </c>
      <c r="AB12" s="70">
        <v>3890</v>
      </c>
      <c r="AC12" s="70">
        <v>3890</v>
      </c>
      <c r="AD12" s="70">
        <v>3900</v>
      </c>
      <c r="AE12" s="70">
        <v>3900</v>
      </c>
      <c r="AF12" s="70">
        <v>3900</v>
      </c>
      <c r="AG12" s="70">
        <v>3900</v>
      </c>
      <c r="AH12" s="70">
        <v>3900</v>
      </c>
      <c r="AI12" s="69">
        <f t="shared" si="1"/>
        <v>3882</v>
      </c>
      <c r="AJ12" s="69">
        <f t="shared" si="2"/>
        <v>4580</v>
      </c>
      <c r="AK12" s="69">
        <v>4400</v>
      </c>
      <c r="AL12" s="69">
        <v>200</v>
      </c>
      <c r="AM12" s="69">
        <f t="shared" si="3"/>
        <v>4332</v>
      </c>
      <c r="AN12" s="63"/>
      <c r="AQ12" s="64"/>
    </row>
    <row r="13" spans="1:43" s="76" customFormat="1" ht="18.75" customHeight="1" x14ac:dyDescent="0.25">
      <c r="A13" s="102">
        <v>11</v>
      </c>
      <c r="B13" s="138"/>
      <c r="C13" s="101" t="s">
        <v>107</v>
      </c>
      <c r="D13" s="74" t="s">
        <v>96</v>
      </c>
      <c r="E13" s="101">
        <v>7.85</v>
      </c>
      <c r="F13" s="102">
        <v>2</v>
      </c>
      <c r="G13" s="102">
        <v>1250</v>
      </c>
      <c r="H13" s="102">
        <v>3000</v>
      </c>
      <c r="I13" s="102" t="s">
        <v>113</v>
      </c>
      <c r="J13" s="75">
        <f t="shared" si="0"/>
        <v>58.875</v>
      </c>
      <c r="K13" s="75" t="s">
        <v>9</v>
      </c>
      <c r="L13" s="63">
        <v>4380</v>
      </c>
      <c r="M13" s="69">
        <f>L13+200</f>
        <v>4580</v>
      </c>
      <c r="N13" s="77">
        <f>N12</f>
        <v>3870</v>
      </c>
      <c r="O13" s="77">
        <f t="shared" ref="O13:AH13" si="9">O12</f>
        <v>3870</v>
      </c>
      <c r="P13" s="77">
        <f t="shared" si="9"/>
        <v>3870</v>
      </c>
      <c r="Q13" s="77">
        <f t="shared" si="9"/>
        <v>3870</v>
      </c>
      <c r="R13" s="77">
        <f t="shared" si="9"/>
        <v>3870</v>
      </c>
      <c r="S13" s="77">
        <f t="shared" si="9"/>
        <v>3870</v>
      </c>
      <c r="T13" s="77">
        <f t="shared" si="9"/>
        <v>3870</v>
      </c>
      <c r="U13" s="77">
        <f t="shared" si="9"/>
        <v>3870</v>
      </c>
      <c r="V13" s="77">
        <f t="shared" si="9"/>
        <v>3870</v>
      </c>
      <c r="W13" s="77">
        <f t="shared" si="9"/>
        <v>3870</v>
      </c>
      <c r="X13" s="77">
        <f t="shared" si="9"/>
        <v>3870</v>
      </c>
      <c r="Y13" s="77">
        <f t="shared" si="9"/>
        <v>3890</v>
      </c>
      <c r="Z13" s="77">
        <f t="shared" si="9"/>
        <v>3890</v>
      </c>
      <c r="AA13" s="77">
        <f t="shared" si="9"/>
        <v>3890</v>
      </c>
      <c r="AB13" s="77">
        <f t="shared" si="9"/>
        <v>3890</v>
      </c>
      <c r="AC13" s="77">
        <f t="shared" si="9"/>
        <v>3890</v>
      </c>
      <c r="AD13" s="77">
        <f t="shared" si="9"/>
        <v>3900</v>
      </c>
      <c r="AE13" s="77">
        <f t="shared" si="9"/>
        <v>3900</v>
      </c>
      <c r="AF13" s="77">
        <f t="shared" si="9"/>
        <v>3900</v>
      </c>
      <c r="AG13" s="77">
        <f t="shared" si="9"/>
        <v>3900</v>
      </c>
      <c r="AH13" s="77">
        <f t="shared" si="9"/>
        <v>3900</v>
      </c>
      <c r="AI13" s="69">
        <f t="shared" si="1"/>
        <v>3882</v>
      </c>
      <c r="AJ13" s="69">
        <f t="shared" si="2"/>
        <v>4580</v>
      </c>
      <c r="AK13" s="69">
        <v>4400</v>
      </c>
      <c r="AL13" s="69">
        <v>200</v>
      </c>
      <c r="AM13" s="69">
        <f t="shared" si="3"/>
        <v>4332</v>
      </c>
      <c r="AN13" s="63"/>
      <c r="AQ13" s="64"/>
    </row>
    <row r="14" spans="1:43" s="76" customFormat="1" ht="18.75" customHeight="1" x14ac:dyDescent="0.25">
      <c r="A14" s="102">
        <v>12</v>
      </c>
      <c r="B14" s="138"/>
      <c r="C14" s="101" t="s">
        <v>107</v>
      </c>
      <c r="D14" s="74" t="s">
        <v>96</v>
      </c>
      <c r="E14" s="101">
        <v>7.85</v>
      </c>
      <c r="F14" s="102">
        <v>2.5</v>
      </c>
      <c r="G14" s="102">
        <v>1250</v>
      </c>
      <c r="H14" s="102">
        <v>3000</v>
      </c>
      <c r="I14" s="102" t="s">
        <v>113</v>
      </c>
      <c r="J14" s="75">
        <f t="shared" si="0"/>
        <v>73.59375</v>
      </c>
      <c r="K14" s="75" t="s">
        <v>9</v>
      </c>
      <c r="L14" s="63">
        <v>4380</v>
      </c>
      <c r="M14" s="69">
        <f t="shared" si="4"/>
        <v>4580</v>
      </c>
      <c r="N14" s="70">
        <v>4100</v>
      </c>
      <c r="O14" s="70">
        <v>4100</v>
      </c>
      <c r="P14" s="70">
        <v>4100</v>
      </c>
      <c r="Q14" s="70">
        <v>4100</v>
      </c>
      <c r="R14" s="70">
        <v>4100</v>
      </c>
      <c r="S14" s="70">
        <v>4100</v>
      </c>
      <c r="T14" s="70">
        <v>4100</v>
      </c>
      <c r="U14" s="70">
        <v>4100</v>
      </c>
      <c r="V14" s="70">
        <v>4100</v>
      </c>
      <c r="W14" s="70">
        <v>4100</v>
      </c>
      <c r="X14" s="70">
        <v>4100</v>
      </c>
      <c r="Y14" s="70">
        <v>4120</v>
      </c>
      <c r="Z14" s="70">
        <v>4120</v>
      </c>
      <c r="AA14" s="70">
        <v>4120</v>
      </c>
      <c r="AB14" s="70">
        <v>4120</v>
      </c>
      <c r="AC14" s="70">
        <v>4120</v>
      </c>
      <c r="AD14" s="70">
        <v>4130</v>
      </c>
      <c r="AE14" s="70">
        <v>4130</v>
      </c>
      <c r="AF14" s="70">
        <v>4130</v>
      </c>
      <c r="AG14" s="70">
        <v>4130</v>
      </c>
      <c r="AH14" s="70">
        <v>4130</v>
      </c>
      <c r="AI14" s="69">
        <f t="shared" si="1"/>
        <v>4112</v>
      </c>
      <c r="AJ14" s="69">
        <f t="shared" si="2"/>
        <v>4580</v>
      </c>
      <c r="AK14" s="69">
        <v>4400</v>
      </c>
      <c r="AL14" s="69">
        <v>200</v>
      </c>
      <c r="AM14" s="69">
        <f t="shared" si="3"/>
        <v>4562</v>
      </c>
      <c r="AN14" s="63"/>
      <c r="AQ14" s="64"/>
    </row>
    <row r="15" spans="1:43" s="64" customFormat="1" ht="18.75" customHeight="1" x14ac:dyDescent="0.25">
      <c r="A15" s="102">
        <v>13</v>
      </c>
      <c r="B15" s="138"/>
      <c r="C15" s="101" t="s">
        <v>107</v>
      </c>
      <c r="D15" s="74"/>
      <c r="E15" s="101">
        <v>7.85</v>
      </c>
      <c r="F15" s="102">
        <v>3</v>
      </c>
      <c r="G15" s="102">
        <v>1250</v>
      </c>
      <c r="H15" s="102">
        <v>3000</v>
      </c>
      <c r="I15" s="102" t="s">
        <v>113</v>
      </c>
      <c r="J15" s="75">
        <f t="shared" si="0"/>
        <v>88.312499999999986</v>
      </c>
      <c r="K15" s="75" t="s">
        <v>9</v>
      </c>
      <c r="L15" s="63"/>
      <c r="M15" s="69"/>
      <c r="N15" s="70">
        <v>4220</v>
      </c>
      <c r="O15" s="70">
        <v>4220</v>
      </c>
      <c r="P15" s="70">
        <v>4220</v>
      </c>
      <c r="Q15" s="70">
        <v>4220</v>
      </c>
      <c r="R15" s="70">
        <v>4220</v>
      </c>
      <c r="S15" s="70">
        <v>4220</v>
      </c>
      <c r="T15" s="70">
        <v>4220</v>
      </c>
      <c r="U15" s="70">
        <v>4220</v>
      </c>
      <c r="V15" s="70">
        <v>4220</v>
      </c>
      <c r="W15" s="70">
        <v>4220</v>
      </c>
      <c r="X15" s="70">
        <v>4220</v>
      </c>
      <c r="Y15" s="70">
        <v>4240</v>
      </c>
      <c r="Z15" s="70">
        <v>4240</v>
      </c>
      <c r="AA15" s="70">
        <v>4240</v>
      </c>
      <c r="AB15" s="70">
        <v>4240</v>
      </c>
      <c r="AC15" s="70">
        <v>4240</v>
      </c>
      <c r="AD15" s="70">
        <v>4250</v>
      </c>
      <c r="AE15" s="70">
        <v>4250</v>
      </c>
      <c r="AF15" s="70">
        <v>4250</v>
      </c>
      <c r="AG15" s="70">
        <v>4250</v>
      </c>
      <c r="AH15" s="70">
        <v>4250</v>
      </c>
      <c r="AI15" s="69">
        <f t="shared" si="1"/>
        <v>4232</v>
      </c>
      <c r="AJ15" s="69"/>
      <c r="AK15" s="69"/>
      <c r="AL15" s="69">
        <v>200</v>
      </c>
      <c r="AM15" s="69">
        <f t="shared" si="3"/>
        <v>4682</v>
      </c>
      <c r="AN15" s="63"/>
    </row>
    <row r="16" spans="1:43" s="76" customFormat="1" ht="20.100000000000001" customHeight="1" x14ac:dyDescent="0.25">
      <c r="A16" s="104">
        <v>14</v>
      </c>
      <c r="B16" s="139" t="s">
        <v>114</v>
      </c>
      <c r="C16" s="103" t="s">
        <v>108</v>
      </c>
      <c r="D16" s="80" t="s">
        <v>98</v>
      </c>
      <c r="E16" s="103">
        <v>7.85</v>
      </c>
      <c r="F16" s="103">
        <v>2.75</v>
      </c>
      <c r="G16" s="103">
        <v>1510</v>
      </c>
      <c r="H16" s="103">
        <v>3000</v>
      </c>
      <c r="I16" s="104" t="s">
        <v>121</v>
      </c>
      <c r="J16" s="81">
        <f t="shared" si="0"/>
        <v>97.791375000000002</v>
      </c>
      <c r="K16" s="81" t="s">
        <v>9</v>
      </c>
      <c r="L16" s="63">
        <v>4180</v>
      </c>
      <c r="M16" s="69">
        <f t="shared" si="4"/>
        <v>4380</v>
      </c>
      <c r="N16" s="77">
        <f>N17</f>
        <v>3480</v>
      </c>
      <c r="O16" s="77">
        <f t="shared" ref="O16:AH16" si="10">O17</f>
        <v>3460</v>
      </c>
      <c r="P16" s="77">
        <f t="shared" si="10"/>
        <v>3470</v>
      </c>
      <c r="Q16" s="77">
        <f>Q17</f>
        <v>3470</v>
      </c>
      <c r="R16" s="77">
        <f t="shared" si="10"/>
        <v>3470</v>
      </c>
      <c r="S16" s="77">
        <f t="shared" si="10"/>
        <v>3470</v>
      </c>
      <c r="T16" s="77">
        <f t="shared" si="10"/>
        <v>3470</v>
      </c>
      <c r="U16" s="77">
        <f t="shared" si="10"/>
        <v>3470</v>
      </c>
      <c r="V16" s="77">
        <f t="shared" si="10"/>
        <v>3470</v>
      </c>
      <c r="W16" s="77">
        <f t="shared" si="10"/>
        <v>3480</v>
      </c>
      <c r="X16" s="77">
        <f t="shared" si="10"/>
        <v>3490</v>
      </c>
      <c r="Y16" s="77">
        <f t="shared" si="10"/>
        <v>3510</v>
      </c>
      <c r="Z16" s="77">
        <f t="shared" si="10"/>
        <v>3530</v>
      </c>
      <c r="AA16" s="77">
        <f t="shared" si="10"/>
        <v>3550</v>
      </c>
      <c r="AB16" s="77">
        <f t="shared" si="10"/>
        <v>3560</v>
      </c>
      <c r="AC16" s="77">
        <f t="shared" si="10"/>
        <v>3580</v>
      </c>
      <c r="AD16" s="77">
        <f t="shared" si="10"/>
        <v>3580</v>
      </c>
      <c r="AE16" s="77">
        <f t="shared" si="10"/>
        <v>3610</v>
      </c>
      <c r="AF16" s="77">
        <f t="shared" si="10"/>
        <v>3590</v>
      </c>
      <c r="AG16" s="77">
        <f t="shared" si="10"/>
        <v>3590</v>
      </c>
      <c r="AH16" s="77">
        <f t="shared" si="10"/>
        <v>3620</v>
      </c>
      <c r="AI16" s="69">
        <f t="shared" si="1"/>
        <v>3520</v>
      </c>
      <c r="AJ16" s="69">
        <f t="shared" ref="AJ16:AJ23" si="11">M16</f>
        <v>4380</v>
      </c>
      <c r="AK16" s="69">
        <v>4430</v>
      </c>
      <c r="AL16" s="69"/>
      <c r="AM16" s="69">
        <f t="shared" si="3"/>
        <v>3770</v>
      </c>
      <c r="AN16" s="63"/>
      <c r="AQ16" s="64"/>
    </row>
    <row r="17" spans="1:43" s="76" customFormat="1" ht="20.100000000000001" customHeight="1" x14ac:dyDescent="0.25">
      <c r="A17" s="104">
        <v>15</v>
      </c>
      <c r="B17" s="140"/>
      <c r="C17" s="103" t="s">
        <v>86</v>
      </c>
      <c r="D17" s="80" t="s">
        <v>99</v>
      </c>
      <c r="E17" s="103">
        <v>7.85</v>
      </c>
      <c r="F17" s="104">
        <v>3.75</v>
      </c>
      <c r="G17" s="104">
        <v>1510</v>
      </c>
      <c r="H17" s="104">
        <v>3000</v>
      </c>
      <c r="I17" s="104" t="s">
        <v>121</v>
      </c>
      <c r="J17" s="81">
        <f t="shared" si="0"/>
        <v>133.35187499999998</v>
      </c>
      <c r="K17" s="81" t="s">
        <v>9</v>
      </c>
      <c r="L17" s="63">
        <v>4180</v>
      </c>
      <c r="M17" s="69">
        <f t="shared" si="4"/>
        <v>4380</v>
      </c>
      <c r="N17" s="70">
        <v>3480</v>
      </c>
      <c r="O17" s="70">
        <v>3460</v>
      </c>
      <c r="P17" s="70">
        <v>3470</v>
      </c>
      <c r="Q17" s="70">
        <v>3470</v>
      </c>
      <c r="R17" s="70">
        <v>3470</v>
      </c>
      <c r="S17" s="70">
        <v>3470</v>
      </c>
      <c r="T17" s="70">
        <v>3470</v>
      </c>
      <c r="U17" s="70">
        <v>3470</v>
      </c>
      <c r="V17" s="70">
        <v>3470</v>
      </c>
      <c r="W17" s="70">
        <v>3480</v>
      </c>
      <c r="X17" s="70">
        <v>3490</v>
      </c>
      <c r="Y17" s="70">
        <v>3510</v>
      </c>
      <c r="Z17" s="70">
        <v>3530</v>
      </c>
      <c r="AA17" s="70">
        <v>3550</v>
      </c>
      <c r="AB17" s="70">
        <v>3560</v>
      </c>
      <c r="AC17" s="70">
        <v>3580</v>
      </c>
      <c r="AD17" s="70">
        <v>3580</v>
      </c>
      <c r="AE17" s="70">
        <v>3610</v>
      </c>
      <c r="AF17" s="70">
        <v>3590</v>
      </c>
      <c r="AG17" s="70">
        <v>3590</v>
      </c>
      <c r="AH17" s="70">
        <v>3620</v>
      </c>
      <c r="AI17" s="69">
        <f t="shared" si="1"/>
        <v>3520</v>
      </c>
      <c r="AJ17" s="69">
        <f t="shared" si="11"/>
        <v>4380</v>
      </c>
      <c r="AK17" s="69">
        <v>4430</v>
      </c>
      <c r="AL17" s="69"/>
      <c r="AM17" s="69">
        <f t="shared" si="3"/>
        <v>3770</v>
      </c>
      <c r="AN17" s="63"/>
      <c r="AQ17" s="64"/>
    </row>
    <row r="18" spans="1:43" s="76" customFormat="1" ht="20.100000000000001" customHeight="1" x14ac:dyDescent="0.25">
      <c r="A18" s="104">
        <v>16</v>
      </c>
      <c r="B18" s="140"/>
      <c r="C18" s="103" t="s">
        <v>87</v>
      </c>
      <c r="D18" s="80" t="s">
        <v>100</v>
      </c>
      <c r="E18" s="103">
        <v>7.85</v>
      </c>
      <c r="F18" s="104">
        <v>4.75</v>
      </c>
      <c r="G18" s="104">
        <v>1510</v>
      </c>
      <c r="H18" s="104">
        <v>3000</v>
      </c>
      <c r="I18" s="104" t="s">
        <v>121</v>
      </c>
      <c r="J18" s="81">
        <f t="shared" si="0"/>
        <v>168.91237499999997</v>
      </c>
      <c r="K18" s="81" t="s">
        <v>9</v>
      </c>
      <c r="L18" s="63">
        <v>4080</v>
      </c>
      <c r="M18" s="69">
        <f t="shared" si="4"/>
        <v>4280</v>
      </c>
      <c r="N18" s="70">
        <v>3430</v>
      </c>
      <c r="O18" s="70">
        <v>3410</v>
      </c>
      <c r="P18" s="70">
        <v>3420</v>
      </c>
      <c r="Q18" s="70">
        <v>3420</v>
      </c>
      <c r="R18" s="70">
        <v>3420</v>
      </c>
      <c r="S18" s="70">
        <v>3420</v>
      </c>
      <c r="T18" s="70">
        <v>3420</v>
      </c>
      <c r="U18" s="70">
        <v>3420</v>
      </c>
      <c r="V18" s="70">
        <v>3420</v>
      </c>
      <c r="W18" s="70">
        <v>3430</v>
      </c>
      <c r="X18" s="70">
        <v>3440</v>
      </c>
      <c r="Y18" s="70">
        <v>3460</v>
      </c>
      <c r="Z18" s="70">
        <v>3480</v>
      </c>
      <c r="AA18" s="70">
        <v>3500</v>
      </c>
      <c r="AB18" s="70">
        <v>3510</v>
      </c>
      <c r="AC18" s="70">
        <v>3530</v>
      </c>
      <c r="AD18" s="70">
        <v>3530</v>
      </c>
      <c r="AE18" s="70">
        <v>3560</v>
      </c>
      <c r="AF18" s="70">
        <v>3540</v>
      </c>
      <c r="AG18" s="70">
        <v>3540</v>
      </c>
      <c r="AH18" s="70">
        <v>3570</v>
      </c>
      <c r="AI18" s="69">
        <f t="shared" si="1"/>
        <v>3470</v>
      </c>
      <c r="AJ18" s="69">
        <f t="shared" si="11"/>
        <v>4280</v>
      </c>
      <c r="AK18" s="69">
        <v>4330</v>
      </c>
      <c r="AL18" s="69"/>
      <c r="AM18" s="69">
        <f t="shared" si="3"/>
        <v>3720</v>
      </c>
      <c r="AN18" s="63"/>
      <c r="AQ18" s="64"/>
    </row>
    <row r="19" spans="1:43" s="76" customFormat="1" ht="20.100000000000001" customHeight="1" x14ac:dyDescent="0.25">
      <c r="A19" s="104">
        <v>17</v>
      </c>
      <c r="B19" s="139" t="s">
        <v>115</v>
      </c>
      <c r="C19" s="103" t="s">
        <v>87</v>
      </c>
      <c r="D19" s="80" t="s">
        <v>101</v>
      </c>
      <c r="E19" s="103">
        <v>7.85</v>
      </c>
      <c r="F19" s="104">
        <v>5.75</v>
      </c>
      <c r="G19" s="104">
        <v>1510</v>
      </c>
      <c r="H19" s="104">
        <v>3000</v>
      </c>
      <c r="I19" s="104" t="s">
        <v>121</v>
      </c>
      <c r="J19" s="81">
        <f t="shared" si="0"/>
        <v>204.47287499999996</v>
      </c>
      <c r="K19" s="81" t="s">
        <v>9</v>
      </c>
      <c r="L19" s="63">
        <v>4080</v>
      </c>
      <c r="M19" s="69">
        <f t="shared" si="4"/>
        <v>4280</v>
      </c>
      <c r="N19" s="70">
        <v>3470</v>
      </c>
      <c r="O19" s="70">
        <v>3450</v>
      </c>
      <c r="P19" s="70">
        <v>3440</v>
      </c>
      <c r="Q19" s="70">
        <v>3440</v>
      </c>
      <c r="R19" s="70">
        <v>3440</v>
      </c>
      <c r="S19" s="70">
        <v>3430</v>
      </c>
      <c r="T19" s="70">
        <v>3430</v>
      </c>
      <c r="U19" s="70">
        <v>3430</v>
      </c>
      <c r="V19" s="70">
        <v>3430</v>
      </c>
      <c r="W19" s="70">
        <v>3430</v>
      </c>
      <c r="X19" s="70">
        <v>3440</v>
      </c>
      <c r="Y19" s="70">
        <v>3440</v>
      </c>
      <c r="Z19" s="70">
        <v>3450</v>
      </c>
      <c r="AA19" s="70">
        <v>3450</v>
      </c>
      <c r="AB19" s="70">
        <v>3460</v>
      </c>
      <c r="AC19" s="70">
        <v>3470</v>
      </c>
      <c r="AD19" s="70">
        <v>3460</v>
      </c>
      <c r="AE19" s="70">
        <v>3480</v>
      </c>
      <c r="AF19" s="70">
        <v>3460</v>
      </c>
      <c r="AG19" s="70">
        <v>3450</v>
      </c>
      <c r="AH19" s="70">
        <v>3460</v>
      </c>
      <c r="AI19" s="69">
        <f t="shared" si="1"/>
        <v>3448</v>
      </c>
      <c r="AJ19" s="69">
        <f t="shared" si="11"/>
        <v>4280</v>
      </c>
      <c r="AK19" s="69">
        <v>4280</v>
      </c>
      <c r="AL19" s="69"/>
      <c r="AM19" s="69">
        <f t="shared" si="3"/>
        <v>3698</v>
      </c>
      <c r="AN19" s="63"/>
      <c r="AQ19" s="64"/>
    </row>
    <row r="20" spans="1:43" s="76" customFormat="1" ht="20.100000000000001" customHeight="1" x14ac:dyDescent="0.25">
      <c r="A20" s="104">
        <v>18</v>
      </c>
      <c r="B20" s="140"/>
      <c r="C20" s="103" t="s">
        <v>87</v>
      </c>
      <c r="D20" s="80" t="s">
        <v>102</v>
      </c>
      <c r="E20" s="103">
        <v>7.85</v>
      </c>
      <c r="F20" s="104">
        <v>7.75</v>
      </c>
      <c r="G20" s="104">
        <v>1510</v>
      </c>
      <c r="H20" s="104">
        <v>3000</v>
      </c>
      <c r="I20" s="104" t="s">
        <v>121</v>
      </c>
      <c r="J20" s="81">
        <f t="shared" si="0"/>
        <v>275.59387499999997</v>
      </c>
      <c r="K20" s="81" t="s">
        <v>9</v>
      </c>
      <c r="L20" s="63">
        <v>4080</v>
      </c>
      <c r="M20" s="69">
        <f t="shared" si="4"/>
        <v>4280</v>
      </c>
      <c r="N20" s="70">
        <v>3470</v>
      </c>
      <c r="O20" s="70">
        <v>3450</v>
      </c>
      <c r="P20" s="70">
        <v>3440</v>
      </c>
      <c r="Q20" s="70">
        <v>3440</v>
      </c>
      <c r="R20" s="70">
        <v>3440</v>
      </c>
      <c r="S20" s="70">
        <v>3430</v>
      </c>
      <c r="T20" s="70">
        <v>3430</v>
      </c>
      <c r="U20" s="70">
        <v>3430</v>
      </c>
      <c r="V20" s="70">
        <v>3430</v>
      </c>
      <c r="W20" s="70">
        <v>3430</v>
      </c>
      <c r="X20" s="70">
        <v>3440</v>
      </c>
      <c r="Y20" s="70">
        <v>3440</v>
      </c>
      <c r="Z20" s="70">
        <v>3450</v>
      </c>
      <c r="AA20" s="70">
        <v>3450</v>
      </c>
      <c r="AB20" s="70">
        <v>3460</v>
      </c>
      <c r="AC20" s="70">
        <v>3470</v>
      </c>
      <c r="AD20" s="70">
        <v>3460</v>
      </c>
      <c r="AE20" s="70">
        <v>3480</v>
      </c>
      <c r="AF20" s="70">
        <v>3460</v>
      </c>
      <c r="AG20" s="70">
        <v>3450</v>
      </c>
      <c r="AH20" s="70">
        <v>3460</v>
      </c>
      <c r="AI20" s="69">
        <f t="shared" si="1"/>
        <v>3448</v>
      </c>
      <c r="AJ20" s="69">
        <f t="shared" si="11"/>
        <v>4280</v>
      </c>
      <c r="AK20" s="69">
        <v>4280</v>
      </c>
      <c r="AL20" s="69"/>
      <c r="AM20" s="69">
        <f t="shared" si="3"/>
        <v>3698</v>
      </c>
      <c r="AN20" s="63"/>
      <c r="AQ20" s="64"/>
    </row>
    <row r="21" spans="1:43" s="76" customFormat="1" ht="22.2" customHeight="1" x14ac:dyDescent="0.25">
      <c r="A21" s="104">
        <v>19</v>
      </c>
      <c r="B21" s="140"/>
      <c r="C21" s="103" t="s">
        <v>87</v>
      </c>
      <c r="D21" s="80" t="s">
        <v>103</v>
      </c>
      <c r="E21" s="103">
        <v>7.85</v>
      </c>
      <c r="F21" s="104">
        <v>9.75</v>
      </c>
      <c r="G21" s="104">
        <v>1510</v>
      </c>
      <c r="H21" s="104">
        <v>3000</v>
      </c>
      <c r="I21" s="104" t="s">
        <v>121</v>
      </c>
      <c r="J21" s="81">
        <f t="shared" si="0"/>
        <v>346.71487500000001</v>
      </c>
      <c r="K21" s="81" t="s">
        <v>9</v>
      </c>
      <c r="L21" s="63">
        <v>4080</v>
      </c>
      <c r="M21" s="69">
        <f t="shared" si="4"/>
        <v>4280</v>
      </c>
      <c r="N21" s="77">
        <f>N20</f>
        <v>3470</v>
      </c>
      <c r="O21" s="77">
        <f t="shared" ref="O21:AH21" si="12">O20</f>
        <v>3450</v>
      </c>
      <c r="P21" s="77">
        <f>P20</f>
        <v>3440</v>
      </c>
      <c r="Q21" s="77">
        <f t="shared" si="12"/>
        <v>3440</v>
      </c>
      <c r="R21" s="77">
        <f t="shared" si="12"/>
        <v>3440</v>
      </c>
      <c r="S21" s="77">
        <f t="shared" si="12"/>
        <v>3430</v>
      </c>
      <c r="T21" s="77">
        <f t="shared" si="12"/>
        <v>3430</v>
      </c>
      <c r="U21" s="77">
        <f t="shared" si="12"/>
        <v>3430</v>
      </c>
      <c r="V21" s="77">
        <f t="shared" si="12"/>
        <v>3430</v>
      </c>
      <c r="W21" s="77">
        <f t="shared" si="12"/>
        <v>3430</v>
      </c>
      <c r="X21" s="77">
        <f t="shared" si="12"/>
        <v>3440</v>
      </c>
      <c r="Y21" s="77">
        <f t="shared" si="12"/>
        <v>3440</v>
      </c>
      <c r="Z21" s="77">
        <f t="shared" si="12"/>
        <v>3450</v>
      </c>
      <c r="AA21" s="77">
        <f t="shared" si="12"/>
        <v>3450</v>
      </c>
      <c r="AB21" s="77">
        <f t="shared" si="12"/>
        <v>3460</v>
      </c>
      <c r="AC21" s="77">
        <f t="shared" si="12"/>
        <v>3470</v>
      </c>
      <c r="AD21" s="77">
        <f t="shared" si="12"/>
        <v>3460</v>
      </c>
      <c r="AE21" s="77">
        <f t="shared" si="12"/>
        <v>3480</v>
      </c>
      <c r="AF21" s="77">
        <f t="shared" si="12"/>
        <v>3460</v>
      </c>
      <c r="AG21" s="77">
        <f t="shared" si="12"/>
        <v>3450</v>
      </c>
      <c r="AH21" s="77">
        <f t="shared" si="12"/>
        <v>3460</v>
      </c>
      <c r="AI21" s="69">
        <f t="shared" si="1"/>
        <v>3448</v>
      </c>
      <c r="AJ21" s="69">
        <f t="shared" si="11"/>
        <v>4280</v>
      </c>
      <c r="AK21" s="69">
        <v>4350</v>
      </c>
      <c r="AL21" s="69"/>
      <c r="AM21" s="69">
        <f t="shared" si="3"/>
        <v>3698</v>
      </c>
      <c r="AN21" s="131" t="s">
        <v>106</v>
      </c>
      <c r="AQ21" s="64"/>
    </row>
    <row r="22" spans="1:43" s="76" customFormat="1" ht="22.2" customHeight="1" x14ac:dyDescent="0.25">
      <c r="A22" s="104">
        <v>20</v>
      </c>
      <c r="B22" s="140"/>
      <c r="C22" s="103" t="s">
        <v>87</v>
      </c>
      <c r="D22" s="80"/>
      <c r="E22" s="103">
        <v>7.85</v>
      </c>
      <c r="F22" s="104">
        <v>11.75</v>
      </c>
      <c r="G22" s="104">
        <v>2500</v>
      </c>
      <c r="H22" s="104">
        <v>12000</v>
      </c>
      <c r="I22" s="104" t="s">
        <v>104</v>
      </c>
      <c r="J22" s="81">
        <f t="shared" si="0"/>
        <v>2767.1249999999995</v>
      </c>
      <c r="K22" s="81" t="s">
        <v>9</v>
      </c>
      <c r="L22" s="63">
        <v>4150</v>
      </c>
      <c r="M22" s="69">
        <f t="shared" si="4"/>
        <v>4350</v>
      </c>
      <c r="N22" s="77">
        <f>N21+70</f>
        <v>3540</v>
      </c>
      <c r="O22" s="77">
        <f t="shared" ref="O22:AH22" si="13">O21+70</f>
        <v>3520</v>
      </c>
      <c r="P22" s="77">
        <f>P21+70</f>
        <v>3510</v>
      </c>
      <c r="Q22" s="77">
        <f>Q21+70</f>
        <v>3510</v>
      </c>
      <c r="R22" s="77">
        <f t="shared" si="13"/>
        <v>3510</v>
      </c>
      <c r="S22" s="77">
        <f t="shared" si="13"/>
        <v>3500</v>
      </c>
      <c r="T22" s="77">
        <f t="shared" si="13"/>
        <v>3500</v>
      </c>
      <c r="U22" s="77">
        <f t="shared" si="13"/>
        <v>3500</v>
      </c>
      <c r="V22" s="77">
        <f t="shared" si="13"/>
        <v>3500</v>
      </c>
      <c r="W22" s="77">
        <f t="shared" si="13"/>
        <v>3500</v>
      </c>
      <c r="X22" s="77">
        <f t="shared" si="13"/>
        <v>3510</v>
      </c>
      <c r="Y22" s="77">
        <f t="shared" si="13"/>
        <v>3510</v>
      </c>
      <c r="Z22" s="77">
        <f t="shared" si="13"/>
        <v>3520</v>
      </c>
      <c r="AA22" s="77">
        <f t="shared" si="13"/>
        <v>3520</v>
      </c>
      <c r="AB22" s="77">
        <f t="shared" si="13"/>
        <v>3530</v>
      </c>
      <c r="AC22" s="77">
        <f t="shared" si="13"/>
        <v>3540</v>
      </c>
      <c r="AD22" s="77">
        <f t="shared" si="13"/>
        <v>3530</v>
      </c>
      <c r="AE22" s="77">
        <f t="shared" si="13"/>
        <v>3550</v>
      </c>
      <c r="AF22" s="77">
        <f t="shared" si="13"/>
        <v>3530</v>
      </c>
      <c r="AG22" s="77">
        <f t="shared" si="13"/>
        <v>3520</v>
      </c>
      <c r="AH22" s="77">
        <f t="shared" si="13"/>
        <v>3530</v>
      </c>
      <c r="AI22" s="69">
        <f t="shared" si="1"/>
        <v>3518</v>
      </c>
      <c r="AJ22" s="69">
        <f t="shared" si="11"/>
        <v>4350</v>
      </c>
      <c r="AK22" s="69">
        <v>4350</v>
      </c>
      <c r="AL22" s="69"/>
      <c r="AM22" s="69">
        <f t="shared" si="3"/>
        <v>3768</v>
      </c>
      <c r="AN22" s="131"/>
    </row>
    <row r="23" spans="1:43" ht="45" x14ac:dyDescent="0.25">
      <c r="A23" s="82">
        <v>21</v>
      </c>
      <c r="B23" s="83" t="s">
        <v>130</v>
      </c>
      <c r="C23" s="84" t="s">
        <v>87</v>
      </c>
      <c r="D23" s="85"/>
      <c r="E23" s="84">
        <v>7.85</v>
      </c>
      <c r="F23" s="86">
        <v>15.75</v>
      </c>
      <c r="G23" s="86">
        <v>2500</v>
      </c>
      <c r="H23" s="86">
        <v>12000</v>
      </c>
      <c r="I23" s="86" t="s">
        <v>104</v>
      </c>
      <c r="J23" s="87">
        <f t="shared" si="0"/>
        <v>3709.125</v>
      </c>
      <c r="K23" s="87" t="s">
        <v>9</v>
      </c>
      <c r="L23" s="63">
        <v>4150</v>
      </c>
      <c r="M23" s="69">
        <f t="shared" si="4"/>
        <v>4350</v>
      </c>
      <c r="N23" s="70">
        <v>3500</v>
      </c>
      <c r="O23" s="70">
        <v>3500</v>
      </c>
      <c r="P23" s="70">
        <v>3500</v>
      </c>
      <c r="Q23" s="70">
        <v>3500</v>
      </c>
      <c r="R23" s="70">
        <v>3510</v>
      </c>
      <c r="S23" s="70">
        <v>3510</v>
      </c>
      <c r="T23" s="70">
        <v>3510</v>
      </c>
      <c r="U23" s="70">
        <v>3510</v>
      </c>
      <c r="V23" s="70">
        <v>3510</v>
      </c>
      <c r="W23" s="70">
        <v>3510</v>
      </c>
      <c r="X23" s="70">
        <v>3540</v>
      </c>
      <c r="Y23" s="70">
        <v>3550</v>
      </c>
      <c r="Z23" s="70">
        <v>3550</v>
      </c>
      <c r="AA23" s="70">
        <v>3580</v>
      </c>
      <c r="AB23" s="70">
        <v>3580</v>
      </c>
      <c r="AC23" s="70">
        <v>3590</v>
      </c>
      <c r="AD23" s="70">
        <v>3600</v>
      </c>
      <c r="AE23" s="70">
        <v>3620</v>
      </c>
      <c r="AF23" s="70">
        <v>3640</v>
      </c>
      <c r="AG23" s="70">
        <v>3640</v>
      </c>
      <c r="AH23" s="70">
        <v>3650</v>
      </c>
      <c r="AI23" s="69">
        <f t="shared" si="1"/>
        <v>3552</v>
      </c>
      <c r="AJ23" s="69">
        <f t="shared" si="11"/>
        <v>4350</v>
      </c>
      <c r="AK23" s="69"/>
      <c r="AL23" s="69"/>
      <c r="AM23" s="69">
        <f>AI23+AL23+250</f>
        <v>3802</v>
      </c>
      <c r="AN23" s="88"/>
    </row>
    <row r="24" spans="1:43" ht="20.100000000000001" customHeight="1" x14ac:dyDescent="0.25"/>
    <row r="25" spans="1:43" ht="20.100000000000001" customHeight="1" x14ac:dyDescent="0.25"/>
    <row r="26" spans="1:43" ht="20.100000000000001" customHeight="1" x14ac:dyDescent="0.25"/>
    <row r="27" spans="1:43" ht="20.100000000000001" customHeight="1" x14ac:dyDescent="0.25"/>
    <row r="28" spans="1:43" ht="20.100000000000001" customHeight="1" x14ac:dyDescent="0.25"/>
    <row r="37" spans="4:54" s="52" customFormat="1" x14ac:dyDescent="0.25">
      <c r="D37" s="89"/>
      <c r="E37" s="90"/>
      <c r="F37" s="90"/>
      <c r="G37" s="90"/>
      <c r="H37" s="90"/>
      <c r="M37" s="53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3"/>
      <c r="AJ37" s="53"/>
      <c r="AK37" s="53"/>
      <c r="AL37" s="53"/>
      <c r="AM37" s="53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</row>
  </sheetData>
  <mergeCells count="6">
    <mergeCell ref="AN21:AN22"/>
    <mergeCell ref="A1:K1"/>
    <mergeCell ref="B3:B10"/>
    <mergeCell ref="B11:B15"/>
    <mergeCell ref="B16:B18"/>
    <mergeCell ref="B19:B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ADAA-585A-4EE0-B62C-2A79518BD058}">
  <sheetPr>
    <pageSetUpPr fitToPage="1"/>
  </sheetPr>
  <dimension ref="A1:AZ37"/>
  <sheetViews>
    <sheetView tabSelected="1" workbookViewId="0">
      <pane xSplit="13" ySplit="2" topLeftCell="Z3" activePane="bottomRight" state="frozen"/>
      <selection activeCell="W8" sqref="W8"/>
      <selection pane="topRight" activeCell="W8" sqref="W8"/>
      <selection pane="bottomLeft" activeCell="W8" sqref="W8"/>
      <selection pane="bottomRight" activeCell="AC19" sqref="AC19"/>
    </sheetView>
  </sheetViews>
  <sheetFormatPr defaultColWidth="9" defaultRowHeight="17.399999999999999" x14ac:dyDescent="0.25"/>
  <cols>
    <col min="1" max="1" width="5.69921875" style="52" customWidth="1"/>
    <col min="2" max="2" width="15.5" style="52" customWidth="1"/>
    <col min="3" max="3" width="11.5" style="52" customWidth="1"/>
    <col min="4" max="4" width="12.69921875" style="89" customWidth="1"/>
    <col min="5" max="5" width="9.59765625" style="90" customWidth="1"/>
    <col min="6" max="6" width="9.09765625" style="90" customWidth="1"/>
    <col min="7" max="7" width="7.19921875" style="90" customWidth="1"/>
    <col min="8" max="8" width="7.69921875" style="90" customWidth="1"/>
    <col min="9" max="9" width="11.3984375" style="52" customWidth="1"/>
    <col min="10" max="10" width="7.3984375" style="52" customWidth="1"/>
    <col min="11" max="11" width="8.3984375" style="52" customWidth="1"/>
    <col min="12" max="12" width="9.8984375" style="52" customWidth="1"/>
    <col min="13" max="13" width="9.5" style="53" customWidth="1"/>
    <col min="14" max="19" width="8.5" style="54" customWidth="1"/>
    <col min="20" max="32" width="9.5" style="54" customWidth="1"/>
    <col min="33" max="33" width="13.8984375" style="53" bestFit="1" customWidth="1"/>
    <col min="34" max="34" width="9.5" style="53" hidden="1" customWidth="1"/>
    <col min="35" max="35" width="11.59765625" style="53" hidden="1" customWidth="1"/>
    <col min="36" max="36" width="5.5" style="53" hidden="1" customWidth="1"/>
    <col min="37" max="37" width="9.5" style="53" bestFit="1" customWidth="1"/>
    <col min="38" max="38" width="22.5" style="52" customWidth="1"/>
    <col min="39" max="16384" width="9" style="55"/>
  </cols>
  <sheetData>
    <row r="1" spans="1:41" ht="45" customHeight="1" x14ac:dyDescent="0.25">
      <c r="A1" s="132" t="s">
        <v>127</v>
      </c>
      <c r="B1" s="133"/>
      <c r="C1" s="134"/>
      <c r="D1" s="134"/>
      <c r="E1" s="134"/>
      <c r="F1" s="134"/>
      <c r="G1" s="134"/>
      <c r="H1" s="134"/>
      <c r="I1" s="134"/>
      <c r="J1" s="134"/>
      <c r="K1" s="134"/>
    </row>
    <row r="2" spans="1:41" s="64" customFormat="1" ht="52.2" x14ac:dyDescent="0.25">
      <c r="A2" s="56" t="s">
        <v>78</v>
      </c>
      <c r="B2" s="57" t="s">
        <v>117</v>
      </c>
      <c r="C2" s="56" t="s">
        <v>3</v>
      </c>
      <c r="D2" s="58" t="s">
        <v>88</v>
      </c>
      <c r="E2" s="57" t="s">
        <v>79</v>
      </c>
      <c r="F2" s="57" t="s">
        <v>80</v>
      </c>
      <c r="G2" s="57" t="s">
        <v>81</v>
      </c>
      <c r="H2" s="57" t="s">
        <v>82</v>
      </c>
      <c r="I2" s="59" t="s">
        <v>83</v>
      </c>
      <c r="J2" s="59" t="s">
        <v>84</v>
      </c>
      <c r="K2" s="56" t="s">
        <v>5</v>
      </c>
      <c r="L2" s="105" t="s">
        <v>118</v>
      </c>
      <c r="M2" s="61" t="s">
        <v>119</v>
      </c>
      <c r="N2" s="62">
        <v>46148</v>
      </c>
      <c r="O2" s="62">
        <v>46149</v>
      </c>
      <c r="P2" s="62">
        <v>46150</v>
      </c>
      <c r="Q2" s="62">
        <v>46151</v>
      </c>
      <c r="R2" s="62">
        <v>46153</v>
      </c>
      <c r="S2" s="62">
        <v>46154</v>
      </c>
      <c r="T2" s="62">
        <v>46155</v>
      </c>
      <c r="U2" s="62">
        <v>46156</v>
      </c>
      <c r="V2" s="62">
        <v>46157</v>
      </c>
      <c r="W2" s="62">
        <v>46160</v>
      </c>
      <c r="X2" s="62">
        <v>46161</v>
      </c>
      <c r="Y2" s="62">
        <v>46162</v>
      </c>
      <c r="Z2" s="62">
        <v>46163</v>
      </c>
      <c r="AA2" s="62">
        <v>46164</v>
      </c>
      <c r="AB2" s="62">
        <v>46167</v>
      </c>
      <c r="AC2" s="62">
        <v>46168</v>
      </c>
      <c r="AD2" s="62">
        <v>46169</v>
      </c>
      <c r="AE2" s="62">
        <v>46170</v>
      </c>
      <c r="AF2" s="62">
        <v>46171</v>
      </c>
      <c r="AG2" s="61" t="s">
        <v>137</v>
      </c>
      <c r="AH2" s="61" t="s">
        <v>112</v>
      </c>
      <c r="AI2" s="61" t="s">
        <v>120</v>
      </c>
      <c r="AJ2" s="61" t="s">
        <v>124</v>
      </c>
      <c r="AK2" s="61" t="s">
        <v>138</v>
      </c>
      <c r="AL2" s="63" t="s">
        <v>105</v>
      </c>
    </row>
    <row r="3" spans="1:41" s="64" customFormat="1" ht="20.100000000000001" customHeight="1" x14ac:dyDescent="0.25">
      <c r="A3" s="107">
        <v>1</v>
      </c>
      <c r="B3" s="135" t="s">
        <v>110</v>
      </c>
      <c r="C3" s="106" t="s">
        <v>85</v>
      </c>
      <c r="D3" s="67" t="s">
        <v>89</v>
      </c>
      <c r="E3" s="106">
        <v>7.85</v>
      </c>
      <c r="F3" s="107">
        <v>2.5</v>
      </c>
      <c r="G3" s="107">
        <v>1510</v>
      </c>
      <c r="H3" s="107">
        <v>3000</v>
      </c>
      <c r="I3" s="107" t="s">
        <v>122</v>
      </c>
      <c r="J3" s="68">
        <f t="shared" ref="J3:J23" si="0">F3/1000*G3/1000*H3/1000*E3*1000</f>
        <v>88.901250000000005</v>
      </c>
      <c r="K3" s="68" t="s">
        <v>9</v>
      </c>
      <c r="L3" s="63">
        <v>4000</v>
      </c>
      <c r="M3" s="69">
        <f>L3+200</f>
        <v>4200</v>
      </c>
      <c r="N3" s="70">
        <v>3650</v>
      </c>
      <c r="O3" s="70">
        <v>3660</v>
      </c>
      <c r="P3" s="70">
        <v>3680</v>
      </c>
      <c r="Q3" s="70">
        <v>3670</v>
      </c>
      <c r="R3" s="70">
        <v>3680</v>
      </c>
      <c r="S3" s="70">
        <v>3680</v>
      </c>
      <c r="T3" s="70">
        <v>3660</v>
      </c>
      <c r="U3" s="70">
        <v>3670</v>
      </c>
      <c r="V3" s="70">
        <v>3670</v>
      </c>
      <c r="W3" s="70">
        <v>3660</v>
      </c>
      <c r="X3" s="70">
        <v>3640</v>
      </c>
      <c r="Y3" s="70">
        <v>3620</v>
      </c>
      <c r="Z3" s="70">
        <v>3620</v>
      </c>
      <c r="AA3" s="70">
        <v>3570</v>
      </c>
      <c r="AB3" s="70">
        <v>3620</v>
      </c>
      <c r="AC3" s="70">
        <v>3590</v>
      </c>
      <c r="AD3" s="70">
        <v>3560</v>
      </c>
      <c r="AE3" s="70">
        <v>3560</v>
      </c>
      <c r="AF3" s="70">
        <v>3560</v>
      </c>
      <c r="AG3" s="69">
        <f t="shared" ref="AG3:AG23" si="1">ROUND(AVERAGE(N3:AF3),0)</f>
        <v>3633</v>
      </c>
      <c r="AH3" s="69">
        <f t="shared" ref="AH3:AH14" si="2">M3</f>
        <v>4200</v>
      </c>
      <c r="AI3" s="69">
        <v>4230</v>
      </c>
      <c r="AJ3" s="69"/>
      <c r="AK3" s="69">
        <f>AG3+AJ3+250</f>
        <v>3883</v>
      </c>
      <c r="AL3" s="63"/>
    </row>
    <row r="4" spans="1:41" s="64" customFormat="1" ht="20.100000000000001" customHeight="1" x14ac:dyDescent="0.25">
      <c r="A4" s="107">
        <v>2</v>
      </c>
      <c r="B4" s="136"/>
      <c r="C4" s="106" t="s">
        <v>85</v>
      </c>
      <c r="D4" s="67" t="s">
        <v>97</v>
      </c>
      <c r="E4" s="106">
        <v>7.85</v>
      </c>
      <c r="F4" s="107">
        <v>3</v>
      </c>
      <c r="G4" s="107">
        <v>1500</v>
      </c>
      <c r="H4" s="107">
        <v>3000</v>
      </c>
      <c r="I4" s="107" t="s">
        <v>122</v>
      </c>
      <c r="J4" s="68">
        <f t="shared" si="0"/>
        <v>105.97499999999998</v>
      </c>
      <c r="K4" s="68" t="s">
        <v>9</v>
      </c>
      <c r="L4" s="63">
        <v>3940</v>
      </c>
      <c r="M4" s="69">
        <f>L4+200</f>
        <v>4140</v>
      </c>
      <c r="N4" s="70">
        <v>3630</v>
      </c>
      <c r="O4" s="70">
        <v>3640</v>
      </c>
      <c r="P4" s="70">
        <v>3660</v>
      </c>
      <c r="Q4" s="70">
        <v>3650</v>
      </c>
      <c r="R4" s="70">
        <v>3660</v>
      </c>
      <c r="S4" s="70">
        <v>3660</v>
      </c>
      <c r="T4" s="70">
        <v>3640</v>
      </c>
      <c r="U4" s="70">
        <v>3650</v>
      </c>
      <c r="V4" s="70">
        <v>3650</v>
      </c>
      <c r="W4" s="70">
        <v>3640</v>
      </c>
      <c r="X4" s="70">
        <v>3620</v>
      </c>
      <c r="Y4" s="70">
        <v>3600</v>
      </c>
      <c r="Z4" s="70">
        <v>3600</v>
      </c>
      <c r="AA4" s="70">
        <v>3550</v>
      </c>
      <c r="AB4" s="70">
        <v>3600</v>
      </c>
      <c r="AC4" s="70">
        <v>3570</v>
      </c>
      <c r="AD4" s="70">
        <v>3540</v>
      </c>
      <c r="AE4" s="70">
        <v>3540</v>
      </c>
      <c r="AF4" s="70">
        <v>3540</v>
      </c>
      <c r="AG4" s="69">
        <f t="shared" si="1"/>
        <v>3613</v>
      </c>
      <c r="AH4" s="69">
        <f t="shared" si="2"/>
        <v>4140</v>
      </c>
      <c r="AI4" s="69">
        <v>4180</v>
      </c>
      <c r="AJ4" s="69"/>
      <c r="AK4" s="69">
        <f t="shared" ref="AK4:AK22" si="3">AG4+AJ4+250</f>
        <v>3863</v>
      </c>
      <c r="AL4" s="63"/>
    </row>
    <row r="5" spans="1:41" s="64" customFormat="1" ht="20.100000000000001" customHeight="1" x14ac:dyDescent="0.25">
      <c r="A5" s="107">
        <v>3</v>
      </c>
      <c r="B5" s="136"/>
      <c r="C5" s="106" t="s">
        <v>85</v>
      </c>
      <c r="D5" s="67" t="s">
        <v>90</v>
      </c>
      <c r="E5" s="106">
        <v>7.85</v>
      </c>
      <c r="F5" s="107">
        <v>4</v>
      </c>
      <c r="G5" s="107">
        <v>1510</v>
      </c>
      <c r="H5" s="107">
        <v>3000</v>
      </c>
      <c r="I5" s="107" t="s">
        <v>122</v>
      </c>
      <c r="J5" s="68">
        <f t="shared" si="0"/>
        <v>142.24200000000002</v>
      </c>
      <c r="K5" s="68" t="s">
        <v>9</v>
      </c>
      <c r="L5" s="63">
        <v>3930</v>
      </c>
      <c r="M5" s="69">
        <f t="shared" ref="M5:M23" si="4">L5+200</f>
        <v>4130</v>
      </c>
      <c r="N5" s="70">
        <v>3550</v>
      </c>
      <c r="O5" s="70">
        <v>3560</v>
      </c>
      <c r="P5" s="70">
        <v>3580</v>
      </c>
      <c r="Q5" s="70">
        <v>3570</v>
      </c>
      <c r="R5" s="70">
        <v>3580</v>
      </c>
      <c r="S5" s="70">
        <v>3580</v>
      </c>
      <c r="T5" s="70">
        <v>3560</v>
      </c>
      <c r="U5" s="70">
        <v>3570</v>
      </c>
      <c r="V5" s="70">
        <v>3570</v>
      </c>
      <c r="W5" s="70">
        <v>3560</v>
      </c>
      <c r="X5" s="70">
        <v>3540</v>
      </c>
      <c r="Y5" s="70">
        <v>3520</v>
      </c>
      <c r="Z5" s="70">
        <v>3520</v>
      </c>
      <c r="AA5" s="70">
        <v>3470</v>
      </c>
      <c r="AB5" s="70">
        <v>3520</v>
      </c>
      <c r="AC5" s="70">
        <v>3490</v>
      </c>
      <c r="AD5" s="70">
        <v>3460</v>
      </c>
      <c r="AE5" s="70">
        <v>3460</v>
      </c>
      <c r="AF5" s="70">
        <v>3460</v>
      </c>
      <c r="AG5" s="69">
        <f t="shared" si="1"/>
        <v>3533</v>
      </c>
      <c r="AH5" s="69">
        <f t="shared" si="2"/>
        <v>4130</v>
      </c>
      <c r="AI5" s="69">
        <v>4160</v>
      </c>
      <c r="AJ5" s="69"/>
      <c r="AK5" s="69">
        <f t="shared" si="3"/>
        <v>3783</v>
      </c>
      <c r="AL5" s="63"/>
    </row>
    <row r="6" spans="1:41" s="64" customFormat="1" ht="20.100000000000001" customHeight="1" x14ac:dyDescent="0.25">
      <c r="A6" s="107">
        <v>4</v>
      </c>
      <c r="B6" s="136"/>
      <c r="C6" s="106" t="s">
        <v>85</v>
      </c>
      <c r="D6" s="67" t="s">
        <v>91</v>
      </c>
      <c r="E6" s="106">
        <v>7.85</v>
      </c>
      <c r="F6" s="107">
        <v>4.75</v>
      </c>
      <c r="G6" s="107">
        <v>1510</v>
      </c>
      <c r="H6" s="107">
        <v>3000</v>
      </c>
      <c r="I6" s="107" t="s">
        <v>122</v>
      </c>
      <c r="J6" s="68">
        <f t="shared" si="0"/>
        <v>168.91237499999997</v>
      </c>
      <c r="K6" s="68" t="s">
        <v>9</v>
      </c>
      <c r="L6" s="63">
        <v>3860</v>
      </c>
      <c r="M6" s="69">
        <f t="shared" si="4"/>
        <v>4060</v>
      </c>
      <c r="N6" s="71">
        <v>3510</v>
      </c>
      <c r="O6" s="71">
        <v>3520</v>
      </c>
      <c r="P6" s="71">
        <v>3540</v>
      </c>
      <c r="Q6" s="71">
        <v>3530</v>
      </c>
      <c r="R6" s="71">
        <v>3540</v>
      </c>
      <c r="S6" s="71">
        <v>3540</v>
      </c>
      <c r="T6" s="71">
        <v>3520</v>
      </c>
      <c r="U6" s="71">
        <v>3530</v>
      </c>
      <c r="V6" s="71">
        <v>3530</v>
      </c>
      <c r="W6" s="71">
        <v>3520</v>
      </c>
      <c r="X6" s="71">
        <v>3500</v>
      </c>
      <c r="Y6" s="71">
        <v>3480</v>
      </c>
      <c r="Z6" s="71">
        <v>3480</v>
      </c>
      <c r="AA6" s="71">
        <v>3430</v>
      </c>
      <c r="AB6" s="71">
        <v>3480</v>
      </c>
      <c r="AC6" s="71">
        <v>3450</v>
      </c>
      <c r="AD6" s="71">
        <v>3420</v>
      </c>
      <c r="AE6" s="71">
        <v>3420</v>
      </c>
      <c r="AF6" s="71">
        <v>3420</v>
      </c>
      <c r="AG6" s="69">
        <f t="shared" si="1"/>
        <v>3493</v>
      </c>
      <c r="AH6" s="69">
        <f t="shared" si="2"/>
        <v>4060</v>
      </c>
      <c r="AI6" s="69">
        <v>4090</v>
      </c>
      <c r="AJ6" s="69"/>
      <c r="AK6" s="69">
        <f>AG6+AJ6+250</f>
        <v>3743</v>
      </c>
      <c r="AL6" s="63"/>
    </row>
    <row r="7" spans="1:41" s="64" customFormat="1" ht="20.100000000000001" customHeight="1" x14ac:dyDescent="0.25">
      <c r="A7" s="107">
        <v>5</v>
      </c>
      <c r="B7" s="136"/>
      <c r="C7" s="106" t="s">
        <v>85</v>
      </c>
      <c r="D7" s="67" t="s">
        <v>92</v>
      </c>
      <c r="E7" s="106">
        <v>7.85</v>
      </c>
      <c r="F7" s="107">
        <v>5.75</v>
      </c>
      <c r="G7" s="107">
        <v>1510</v>
      </c>
      <c r="H7" s="107">
        <v>3000</v>
      </c>
      <c r="I7" s="107" t="s">
        <v>122</v>
      </c>
      <c r="J7" s="68">
        <f t="shared" si="0"/>
        <v>204.47287499999996</v>
      </c>
      <c r="K7" s="68" t="s">
        <v>9</v>
      </c>
      <c r="L7" s="63">
        <v>3860</v>
      </c>
      <c r="M7" s="69">
        <f t="shared" si="4"/>
        <v>4060</v>
      </c>
      <c r="N7" s="71">
        <f>N6</f>
        <v>3510</v>
      </c>
      <c r="O7" s="71">
        <f t="shared" ref="O7:AF7" si="5">O6</f>
        <v>3520</v>
      </c>
      <c r="P7" s="71">
        <f t="shared" si="5"/>
        <v>3540</v>
      </c>
      <c r="Q7" s="71">
        <f t="shared" si="5"/>
        <v>3530</v>
      </c>
      <c r="R7" s="71">
        <f t="shared" si="5"/>
        <v>3540</v>
      </c>
      <c r="S7" s="71">
        <f t="shared" si="5"/>
        <v>3540</v>
      </c>
      <c r="T7" s="71">
        <f t="shared" si="5"/>
        <v>3520</v>
      </c>
      <c r="U7" s="71">
        <f t="shared" si="5"/>
        <v>3530</v>
      </c>
      <c r="V7" s="71">
        <f t="shared" si="5"/>
        <v>3530</v>
      </c>
      <c r="W7" s="71">
        <f t="shared" si="5"/>
        <v>3520</v>
      </c>
      <c r="X7" s="71">
        <f t="shared" si="5"/>
        <v>3500</v>
      </c>
      <c r="Y7" s="71">
        <f t="shared" si="5"/>
        <v>3480</v>
      </c>
      <c r="Z7" s="71">
        <f t="shared" si="5"/>
        <v>3480</v>
      </c>
      <c r="AA7" s="71">
        <f t="shared" si="5"/>
        <v>3430</v>
      </c>
      <c r="AB7" s="71">
        <f t="shared" si="5"/>
        <v>3480</v>
      </c>
      <c r="AC7" s="71">
        <f t="shared" si="5"/>
        <v>3450</v>
      </c>
      <c r="AD7" s="71">
        <f t="shared" si="5"/>
        <v>3420</v>
      </c>
      <c r="AE7" s="71">
        <f t="shared" si="5"/>
        <v>3420</v>
      </c>
      <c r="AF7" s="71">
        <f t="shared" si="5"/>
        <v>3420</v>
      </c>
      <c r="AG7" s="69">
        <f t="shared" si="1"/>
        <v>3493</v>
      </c>
      <c r="AH7" s="69">
        <f t="shared" si="2"/>
        <v>4060</v>
      </c>
      <c r="AI7" s="69">
        <v>4090</v>
      </c>
      <c r="AJ7" s="69"/>
      <c r="AK7" s="69">
        <f t="shared" si="3"/>
        <v>3743</v>
      </c>
      <c r="AL7" s="63"/>
    </row>
    <row r="8" spans="1:41" s="64" customFormat="1" ht="20.100000000000001" customHeight="1" x14ac:dyDescent="0.25">
      <c r="A8" s="107">
        <v>6</v>
      </c>
      <c r="B8" s="136"/>
      <c r="C8" s="106" t="s">
        <v>85</v>
      </c>
      <c r="D8" s="67" t="s">
        <v>93</v>
      </c>
      <c r="E8" s="106">
        <v>7.85</v>
      </c>
      <c r="F8" s="107">
        <v>7.75</v>
      </c>
      <c r="G8" s="107">
        <v>1510</v>
      </c>
      <c r="H8" s="107">
        <v>3000</v>
      </c>
      <c r="I8" s="107" t="s">
        <v>122</v>
      </c>
      <c r="J8" s="68">
        <f t="shared" si="0"/>
        <v>275.59387499999997</v>
      </c>
      <c r="K8" s="68" t="s">
        <v>9</v>
      </c>
      <c r="L8" s="63">
        <v>3860</v>
      </c>
      <c r="M8" s="69">
        <f t="shared" si="4"/>
        <v>4060</v>
      </c>
      <c r="N8" s="71">
        <f>N6</f>
        <v>3510</v>
      </c>
      <c r="O8" s="71">
        <f t="shared" ref="O8:AF8" si="6">O6</f>
        <v>3520</v>
      </c>
      <c r="P8" s="71">
        <f t="shared" si="6"/>
        <v>3540</v>
      </c>
      <c r="Q8" s="71">
        <f t="shared" si="6"/>
        <v>3530</v>
      </c>
      <c r="R8" s="71">
        <f t="shared" si="6"/>
        <v>3540</v>
      </c>
      <c r="S8" s="71">
        <f t="shared" si="6"/>
        <v>3540</v>
      </c>
      <c r="T8" s="71">
        <f t="shared" si="6"/>
        <v>3520</v>
      </c>
      <c r="U8" s="71">
        <f t="shared" si="6"/>
        <v>3530</v>
      </c>
      <c r="V8" s="71">
        <f t="shared" si="6"/>
        <v>3530</v>
      </c>
      <c r="W8" s="71">
        <f t="shared" si="6"/>
        <v>3520</v>
      </c>
      <c r="X8" s="71">
        <f t="shared" si="6"/>
        <v>3500</v>
      </c>
      <c r="Y8" s="71">
        <f t="shared" si="6"/>
        <v>3480</v>
      </c>
      <c r="Z8" s="71">
        <f t="shared" si="6"/>
        <v>3480</v>
      </c>
      <c r="AA8" s="71">
        <f t="shared" si="6"/>
        <v>3430</v>
      </c>
      <c r="AB8" s="71">
        <f t="shared" si="6"/>
        <v>3480</v>
      </c>
      <c r="AC8" s="71">
        <f t="shared" si="6"/>
        <v>3450</v>
      </c>
      <c r="AD8" s="71">
        <f t="shared" si="6"/>
        <v>3420</v>
      </c>
      <c r="AE8" s="71">
        <f t="shared" si="6"/>
        <v>3420</v>
      </c>
      <c r="AF8" s="71">
        <f t="shared" si="6"/>
        <v>3420</v>
      </c>
      <c r="AG8" s="69">
        <f t="shared" si="1"/>
        <v>3493</v>
      </c>
      <c r="AH8" s="69">
        <f t="shared" si="2"/>
        <v>4060</v>
      </c>
      <c r="AI8" s="69">
        <v>4090</v>
      </c>
      <c r="AJ8" s="69"/>
      <c r="AK8" s="69">
        <f t="shared" si="3"/>
        <v>3743</v>
      </c>
      <c r="AL8" s="63"/>
    </row>
    <row r="9" spans="1:41" s="64" customFormat="1" ht="20.100000000000001" customHeight="1" x14ac:dyDescent="0.25">
      <c r="A9" s="107">
        <v>7</v>
      </c>
      <c r="B9" s="136"/>
      <c r="C9" s="106" t="s">
        <v>85</v>
      </c>
      <c r="D9" s="67" t="s">
        <v>94</v>
      </c>
      <c r="E9" s="106">
        <v>7.85</v>
      </c>
      <c r="F9" s="107">
        <v>9.75</v>
      </c>
      <c r="G9" s="107">
        <v>1510</v>
      </c>
      <c r="H9" s="107">
        <v>3000</v>
      </c>
      <c r="I9" s="107" t="s">
        <v>122</v>
      </c>
      <c r="J9" s="68">
        <f t="shared" si="0"/>
        <v>346.71487500000001</v>
      </c>
      <c r="K9" s="68" t="s">
        <v>9</v>
      </c>
      <c r="L9" s="63">
        <v>3860</v>
      </c>
      <c r="M9" s="69">
        <f t="shared" si="4"/>
        <v>4060</v>
      </c>
      <c r="N9" s="71">
        <f>N6</f>
        <v>3510</v>
      </c>
      <c r="O9" s="71">
        <f t="shared" ref="O9:AF9" si="7">O6</f>
        <v>3520</v>
      </c>
      <c r="P9" s="71">
        <f t="shared" si="7"/>
        <v>3540</v>
      </c>
      <c r="Q9" s="71">
        <f t="shared" si="7"/>
        <v>3530</v>
      </c>
      <c r="R9" s="71">
        <f t="shared" si="7"/>
        <v>3540</v>
      </c>
      <c r="S9" s="71">
        <f t="shared" si="7"/>
        <v>3540</v>
      </c>
      <c r="T9" s="71">
        <f t="shared" si="7"/>
        <v>3520</v>
      </c>
      <c r="U9" s="71">
        <f t="shared" si="7"/>
        <v>3530</v>
      </c>
      <c r="V9" s="71">
        <f t="shared" si="7"/>
        <v>3530</v>
      </c>
      <c r="W9" s="71">
        <f t="shared" si="7"/>
        <v>3520</v>
      </c>
      <c r="X9" s="71">
        <f t="shared" si="7"/>
        <v>3500</v>
      </c>
      <c r="Y9" s="71">
        <f t="shared" si="7"/>
        <v>3480</v>
      </c>
      <c r="Z9" s="71">
        <f t="shared" si="7"/>
        <v>3480</v>
      </c>
      <c r="AA9" s="71">
        <f t="shared" si="7"/>
        <v>3430</v>
      </c>
      <c r="AB9" s="71">
        <f t="shared" si="7"/>
        <v>3480</v>
      </c>
      <c r="AC9" s="71">
        <f t="shared" si="7"/>
        <v>3450</v>
      </c>
      <c r="AD9" s="71">
        <f t="shared" si="7"/>
        <v>3420</v>
      </c>
      <c r="AE9" s="71">
        <f t="shared" si="7"/>
        <v>3420</v>
      </c>
      <c r="AF9" s="71">
        <f t="shared" si="7"/>
        <v>3420</v>
      </c>
      <c r="AG9" s="69">
        <f t="shared" si="1"/>
        <v>3493</v>
      </c>
      <c r="AH9" s="69">
        <f t="shared" si="2"/>
        <v>4060</v>
      </c>
      <c r="AI9" s="69">
        <v>4090</v>
      </c>
      <c r="AJ9" s="69"/>
      <c r="AK9" s="69">
        <f t="shared" si="3"/>
        <v>3743</v>
      </c>
      <c r="AL9" s="63"/>
    </row>
    <row r="10" spans="1:41" s="64" customFormat="1" ht="20.100000000000001" customHeight="1" x14ac:dyDescent="0.25">
      <c r="A10" s="107">
        <v>8</v>
      </c>
      <c r="B10" s="136"/>
      <c r="C10" s="106" t="s">
        <v>109</v>
      </c>
      <c r="D10" s="67"/>
      <c r="E10" s="106">
        <v>7.85</v>
      </c>
      <c r="F10" s="106">
        <v>11.75</v>
      </c>
      <c r="G10" s="106">
        <v>1510</v>
      </c>
      <c r="H10" s="106">
        <v>3000</v>
      </c>
      <c r="I10" s="107" t="s">
        <v>122</v>
      </c>
      <c r="J10" s="68">
        <f t="shared" si="0"/>
        <v>417.83587500000004</v>
      </c>
      <c r="K10" s="68" t="s">
        <v>9</v>
      </c>
      <c r="L10" s="63">
        <v>3860</v>
      </c>
      <c r="M10" s="69">
        <f t="shared" si="4"/>
        <v>4060</v>
      </c>
      <c r="N10" s="71">
        <f>N6</f>
        <v>3510</v>
      </c>
      <c r="O10" s="71">
        <f t="shared" ref="O10:AF10" si="8">O6</f>
        <v>3520</v>
      </c>
      <c r="P10" s="71">
        <f t="shared" si="8"/>
        <v>3540</v>
      </c>
      <c r="Q10" s="71">
        <f t="shared" si="8"/>
        <v>3530</v>
      </c>
      <c r="R10" s="71">
        <f t="shared" si="8"/>
        <v>3540</v>
      </c>
      <c r="S10" s="71">
        <f t="shared" si="8"/>
        <v>3540</v>
      </c>
      <c r="T10" s="71">
        <f t="shared" si="8"/>
        <v>3520</v>
      </c>
      <c r="U10" s="71">
        <f t="shared" si="8"/>
        <v>3530</v>
      </c>
      <c r="V10" s="71">
        <f t="shared" si="8"/>
        <v>3530</v>
      </c>
      <c r="W10" s="71">
        <f t="shared" si="8"/>
        <v>3520</v>
      </c>
      <c r="X10" s="71">
        <f t="shared" si="8"/>
        <v>3500</v>
      </c>
      <c r="Y10" s="71">
        <f t="shared" si="8"/>
        <v>3480</v>
      </c>
      <c r="Z10" s="71">
        <f t="shared" si="8"/>
        <v>3480</v>
      </c>
      <c r="AA10" s="71">
        <f t="shared" si="8"/>
        <v>3430</v>
      </c>
      <c r="AB10" s="71">
        <f t="shared" si="8"/>
        <v>3480</v>
      </c>
      <c r="AC10" s="71">
        <f t="shared" si="8"/>
        <v>3450</v>
      </c>
      <c r="AD10" s="71">
        <f t="shared" si="8"/>
        <v>3420</v>
      </c>
      <c r="AE10" s="71">
        <f t="shared" si="8"/>
        <v>3420</v>
      </c>
      <c r="AF10" s="71">
        <f t="shared" si="8"/>
        <v>3420</v>
      </c>
      <c r="AG10" s="69">
        <f t="shared" si="1"/>
        <v>3493</v>
      </c>
      <c r="AH10" s="69">
        <f t="shared" si="2"/>
        <v>4060</v>
      </c>
      <c r="AI10" s="69">
        <v>4090</v>
      </c>
      <c r="AJ10" s="69"/>
      <c r="AK10" s="69">
        <f t="shared" si="3"/>
        <v>3743</v>
      </c>
      <c r="AL10" s="63"/>
    </row>
    <row r="11" spans="1:41" s="76" customFormat="1" ht="20.100000000000001" customHeight="1" x14ac:dyDescent="0.25">
      <c r="A11" s="109">
        <v>9</v>
      </c>
      <c r="B11" s="137" t="s">
        <v>111</v>
      </c>
      <c r="C11" s="108" t="s">
        <v>107</v>
      </c>
      <c r="D11" s="74" t="s">
        <v>95</v>
      </c>
      <c r="E11" s="108">
        <v>7.85</v>
      </c>
      <c r="F11" s="108">
        <v>1</v>
      </c>
      <c r="G11" s="108">
        <v>1250</v>
      </c>
      <c r="H11" s="108">
        <v>2500</v>
      </c>
      <c r="I11" s="109" t="s">
        <v>123</v>
      </c>
      <c r="J11" s="75">
        <f t="shared" si="0"/>
        <v>24.53125</v>
      </c>
      <c r="K11" s="75" t="s">
        <v>9</v>
      </c>
      <c r="L11" s="63">
        <v>4430</v>
      </c>
      <c r="M11" s="69">
        <f t="shared" si="4"/>
        <v>4630</v>
      </c>
      <c r="N11" s="70">
        <v>3950</v>
      </c>
      <c r="O11" s="70">
        <v>3950</v>
      </c>
      <c r="P11" s="70">
        <v>3950</v>
      </c>
      <c r="Q11" s="70">
        <v>3950</v>
      </c>
      <c r="R11" s="70">
        <v>3990</v>
      </c>
      <c r="S11" s="70">
        <v>3990</v>
      </c>
      <c r="T11" s="70">
        <v>3990</v>
      </c>
      <c r="U11" s="70">
        <v>3970</v>
      </c>
      <c r="V11" s="70">
        <v>3970</v>
      </c>
      <c r="W11" s="70">
        <v>3970</v>
      </c>
      <c r="X11" s="70">
        <v>3970</v>
      </c>
      <c r="Y11" s="70">
        <v>3970</v>
      </c>
      <c r="Z11" s="70">
        <v>3970</v>
      </c>
      <c r="AA11" s="70">
        <v>3970</v>
      </c>
      <c r="AB11" s="70">
        <v>3990</v>
      </c>
      <c r="AC11" s="70">
        <v>3990</v>
      </c>
      <c r="AD11" s="70">
        <v>3990</v>
      </c>
      <c r="AE11" s="70">
        <v>3970</v>
      </c>
      <c r="AF11" s="70">
        <v>3960</v>
      </c>
      <c r="AG11" s="69">
        <f t="shared" si="1"/>
        <v>3972</v>
      </c>
      <c r="AH11" s="69">
        <f t="shared" si="2"/>
        <v>4630</v>
      </c>
      <c r="AI11" s="69">
        <v>4450</v>
      </c>
      <c r="AJ11" s="69">
        <v>200</v>
      </c>
      <c r="AK11" s="69">
        <f t="shared" si="3"/>
        <v>4422</v>
      </c>
      <c r="AL11" s="63"/>
      <c r="AO11" s="64"/>
    </row>
    <row r="12" spans="1:41" s="76" customFormat="1" ht="20.100000000000001" customHeight="1" x14ac:dyDescent="0.25">
      <c r="A12" s="109">
        <v>10</v>
      </c>
      <c r="B12" s="138"/>
      <c r="C12" s="108" t="s">
        <v>107</v>
      </c>
      <c r="D12" s="74"/>
      <c r="E12" s="108">
        <v>7.85</v>
      </c>
      <c r="F12" s="109">
        <v>1.5</v>
      </c>
      <c r="G12" s="109">
        <v>1250</v>
      </c>
      <c r="H12" s="109">
        <v>2500</v>
      </c>
      <c r="I12" s="109" t="s">
        <v>123</v>
      </c>
      <c r="J12" s="75">
        <f t="shared" si="0"/>
        <v>36.796875</v>
      </c>
      <c r="K12" s="75" t="s">
        <v>9</v>
      </c>
      <c r="L12" s="63">
        <v>4380</v>
      </c>
      <c r="M12" s="69">
        <f t="shared" si="4"/>
        <v>4580</v>
      </c>
      <c r="N12" s="70">
        <v>3900</v>
      </c>
      <c r="O12" s="70">
        <v>3900</v>
      </c>
      <c r="P12" s="70">
        <v>3900</v>
      </c>
      <c r="Q12" s="70">
        <v>3900</v>
      </c>
      <c r="R12" s="70">
        <v>3940</v>
      </c>
      <c r="S12" s="70">
        <v>3940</v>
      </c>
      <c r="T12" s="70">
        <v>3940</v>
      </c>
      <c r="U12" s="70">
        <v>3920</v>
      </c>
      <c r="V12" s="70">
        <v>3920</v>
      </c>
      <c r="W12" s="70">
        <v>3920</v>
      </c>
      <c r="X12" s="70">
        <v>3920</v>
      </c>
      <c r="Y12" s="70">
        <v>3920</v>
      </c>
      <c r="Z12" s="70">
        <v>3920</v>
      </c>
      <c r="AA12" s="70">
        <v>3920</v>
      </c>
      <c r="AB12" s="70">
        <v>3940</v>
      </c>
      <c r="AC12" s="70">
        <v>3940</v>
      </c>
      <c r="AD12" s="70">
        <v>3940</v>
      </c>
      <c r="AE12" s="70">
        <v>3920</v>
      </c>
      <c r="AF12" s="70">
        <v>3910</v>
      </c>
      <c r="AG12" s="69">
        <f t="shared" si="1"/>
        <v>3922</v>
      </c>
      <c r="AH12" s="69">
        <f t="shared" si="2"/>
        <v>4580</v>
      </c>
      <c r="AI12" s="69">
        <v>4400</v>
      </c>
      <c r="AJ12" s="69">
        <v>200</v>
      </c>
      <c r="AK12" s="69">
        <f t="shared" si="3"/>
        <v>4372</v>
      </c>
      <c r="AL12" s="63"/>
      <c r="AO12" s="64"/>
    </row>
    <row r="13" spans="1:41" s="76" customFormat="1" ht="18.75" customHeight="1" x14ac:dyDescent="0.25">
      <c r="A13" s="109">
        <v>11</v>
      </c>
      <c r="B13" s="138"/>
      <c r="C13" s="108" t="s">
        <v>107</v>
      </c>
      <c r="D13" s="74" t="s">
        <v>96</v>
      </c>
      <c r="E13" s="108">
        <v>7.85</v>
      </c>
      <c r="F13" s="109">
        <v>2</v>
      </c>
      <c r="G13" s="109">
        <v>1250</v>
      </c>
      <c r="H13" s="109">
        <v>3000</v>
      </c>
      <c r="I13" s="109" t="s">
        <v>113</v>
      </c>
      <c r="J13" s="75">
        <f t="shared" si="0"/>
        <v>58.875</v>
      </c>
      <c r="K13" s="75" t="s">
        <v>9</v>
      </c>
      <c r="L13" s="63">
        <v>4380</v>
      </c>
      <c r="M13" s="69">
        <f>L13+200</f>
        <v>4580</v>
      </c>
      <c r="N13" s="77">
        <f>N12</f>
        <v>3900</v>
      </c>
      <c r="O13" s="77">
        <f t="shared" ref="O13:AF13" si="9">O12</f>
        <v>3900</v>
      </c>
      <c r="P13" s="77">
        <f t="shared" si="9"/>
        <v>3900</v>
      </c>
      <c r="Q13" s="77">
        <f t="shared" si="9"/>
        <v>3900</v>
      </c>
      <c r="R13" s="77">
        <f t="shared" si="9"/>
        <v>3940</v>
      </c>
      <c r="S13" s="77">
        <f t="shared" si="9"/>
        <v>3940</v>
      </c>
      <c r="T13" s="77">
        <f t="shared" si="9"/>
        <v>3940</v>
      </c>
      <c r="U13" s="77">
        <f t="shared" si="9"/>
        <v>3920</v>
      </c>
      <c r="V13" s="77">
        <f t="shared" si="9"/>
        <v>3920</v>
      </c>
      <c r="W13" s="77">
        <f t="shared" si="9"/>
        <v>3920</v>
      </c>
      <c r="X13" s="77">
        <f t="shared" si="9"/>
        <v>3920</v>
      </c>
      <c r="Y13" s="77">
        <f t="shared" si="9"/>
        <v>3920</v>
      </c>
      <c r="Z13" s="77">
        <f t="shared" si="9"/>
        <v>3920</v>
      </c>
      <c r="AA13" s="77">
        <f t="shared" si="9"/>
        <v>3920</v>
      </c>
      <c r="AB13" s="77">
        <f t="shared" si="9"/>
        <v>3940</v>
      </c>
      <c r="AC13" s="77">
        <f t="shared" si="9"/>
        <v>3940</v>
      </c>
      <c r="AD13" s="77">
        <f t="shared" si="9"/>
        <v>3940</v>
      </c>
      <c r="AE13" s="77">
        <f t="shared" si="9"/>
        <v>3920</v>
      </c>
      <c r="AF13" s="77">
        <f t="shared" si="9"/>
        <v>3910</v>
      </c>
      <c r="AG13" s="69">
        <f t="shared" si="1"/>
        <v>3922</v>
      </c>
      <c r="AH13" s="69">
        <f t="shared" si="2"/>
        <v>4580</v>
      </c>
      <c r="AI13" s="69">
        <v>4400</v>
      </c>
      <c r="AJ13" s="69">
        <v>200</v>
      </c>
      <c r="AK13" s="69">
        <f t="shared" si="3"/>
        <v>4372</v>
      </c>
      <c r="AL13" s="63"/>
      <c r="AO13" s="64"/>
    </row>
    <row r="14" spans="1:41" s="76" customFormat="1" ht="18.75" customHeight="1" x14ac:dyDescent="0.25">
      <c r="A14" s="109">
        <v>12</v>
      </c>
      <c r="B14" s="138"/>
      <c r="C14" s="108" t="s">
        <v>107</v>
      </c>
      <c r="D14" s="74" t="s">
        <v>96</v>
      </c>
      <c r="E14" s="108">
        <v>7.85</v>
      </c>
      <c r="F14" s="109">
        <v>2.5</v>
      </c>
      <c r="G14" s="109">
        <v>1250</v>
      </c>
      <c r="H14" s="109">
        <v>3000</v>
      </c>
      <c r="I14" s="109" t="s">
        <v>113</v>
      </c>
      <c r="J14" s="75">
        <f t="shared" si="0"/>
        <v>73.59375</v>
      </c>
      <c r="K14" s="75" t="s">
        <v>9</v>
      </c>
      <c r="L14" s="63">
        <v>4380</v>
      </c>
      <c r="M14" s="69">
        <f t="shared" si="4"/>
        <v>4580</v>
      </c>
      <c r="N14" s="70">
        <v>4130</v>
      </c>
      <c r="O14" s="70">
        <v>4130</v>
      </c>
      <c r="P14" s="70">
        <v>4130</v>
      </c>
      <c r="Q14" s="70">
        <v>4130</v>
      </c>
      <c r="R14" s="70">
        <v>4170</v>
      </c>
      <c r="S14" s="70">
        <v>4170</v>
      </c>
      <c r="T14" s="70">
        <v>4170</v>
      </c>
      <c r="U14" s="70">
        <v>4150</v>
      </c>
      <c r="V14" s="70">
        <v>4150</v>
      </c>
      <c r="W14" s="70">
        <v>4150</v>
      </c>
      <c r="X14" s="70">
        <v>4150</v>
      </c>
      <c r="Y14" s="70">
        <v>4150</v>
      </c>
      <c r="Z14" s="70">
        <v>4150</v>
      </c>
      <c r="AA14" s="70">
        <v>4150</v>
      </c>
      <c r="AB14" s="70">
        <v>4170</v>
      </c>
      <c r="AC14" s="70">
        <v>4170</v>
      </c>
      <c r="AD14" s="70">
        <v>4170</v>
      </c>
      <c r="AE14" s="70">
        <v>4150</v>
      </c>
      <c r="AF14" s="70">
        <v>4140</v>
      </c>
      <c r="AG14" s="69">
        <f t="shared" si="1"/>
        <v>4152</v>
      </c>
      <c r="AH14" s="69">
        <f t="shared" si="2"/>
        <v>4580</v>
      </c>
      <c r="AI14" s="69">
        <v>4400</v>
      </c>
      <c r="AJ14" s="69">
        <v>200</v>
      </c>
      <c r="AK14" s="69">
        <f t="shared" si="3"/>
        <v>4602</v>
      </c>
      <c r="AL14" s="63"/>
      <c r="AO14" s="64"/>
    </row>
    <row r="15" spans="1:41" s="64" customFormat="1" ht="18.75" customHeight="1" x14ac:dyDescent="0.25">
      <c r="A15" s="109">
        <v>13</v>
      </c>
      <c r="B15" s="138"/>
      <c r="C15" s="108" t="s">
        <v>107</v>
      </c>
      <c r="D15" s="74"/>
      <c r="E15" s="108">
        <v>7.85</v>
      </c>
      <c r="F15" s="109">
        <v>3</v>
      </c>
      <c r="G15" s="109">
        <v>1250</v>
      </c>
      <c r="H15" s="109">
        <v>3000</v>
      </c>
      <c r="I15" s="109" t="s">
        <v>113</v>
      </c>
      <c r="J15" s="75">
        <f t="shared" si="0"/>
        <v>88.312499999999986</v>
      </c>
      <c r="K15" s="75" t="s">
        <v>9</v>
      </c>
      <c r="L15" s="63"/>
      <c r="M15" s="69"/>
      <c r="N15" s="70">
        <v>4250</v>
      </c>
      <c r="O15" s="70">
        <v>4250</v>
      </c>
      <c r="P15" s="70">
        <v>4250</v>
      </c>
      <c r="Q15" s="70">
        <v>4250</v>
      </c>
      <c r="R15" s="70">
        <v>4290</v>
      </c>
      <c r="S15" s="70">
        <v>4290</v>
      </c>
      <c r="T15" s="70">
        <v>4290</v>
      </c>
      <c r="U15" s="70">
        <v>4270</v>
      </c>
      <c r="V15" s="70">
        <v>4270</v>
      </c>
      <c r="W15" s="70">
        <v>4270</v>
      </c>
      <c r="X15" s="70">
        <v>4270</v>
      </c>
      <c r="Y15" s="70">
        <v>4270</v>
      </c>
      <c r="Z15" s="70">
        <v>4270</v>
      </c>
      <c r="AA15" s="70">
        <v>4270</v>
      </c>
      <c r="AB15" s="70">
        <v>4290</v>
      </c>
      <c r="AC15" s="70">
        <v>4290</v>
      </c>
      <c r="AD15" s="70">
        <v>4290</v>
      </c>
      <c r="AE15" s="70">
        <v>4270</v>
      </c>
      <c r="AF15" s="70">
        <v>4260</v>
      </c>
      <c r="AG15" s="69">
        <f t="shared" si="1"/>
        <v>4272</v>
      </c>
      <c r="AH15" s="69"/>
      <c r="AI15" s="69"/>
      <c r="AJ15" s="69">
        <v>200</v>
      </c>
      <c r="AK15" s="69">
        <f t="shared" si="3"/>
        <v>4722</v>
      </c>
      <c r="AL15" s="63"/>
    </row>
    <row r="16" spans="1:41" s="76" customFormat="1" ht="20.100000000000001" customHeight="1" x14ac:dyDescent="0.25">
      <c r="A16" s="111">
        <v>14</v>
      </c>
      <c r="B16" s="139" t="s">
        <v>114</v>
      </c>
      <c r="C16" s="110" t="s">
        <v>108</v>
      </c>
      <c r="D16" s="80" t="s">
        <v>98</v>
      </c>
      <c r="E16" s="110">
        <v>7.85</v>
      </c>
      <c r="F16" s="110">
        <v>2.75</v>
      </c>
      <c r="G16" s="110">
        <v>1510</v>
      </c>
      <c r="H16" s="110">
        <v>3000</v>
      </c>
      <c r="I16" s="111" t="s">
        <v>121</v>
      </c>
      <c r="J16" s="81">
        <f t="shared" si="0"/>
        <v>97.791375000000002</v>
      </c>
      <c r="K16" s="81" t="s">
        <v>9</v>
      </c>
      <c r="L16" s="63">
        <v>4180</v>
      </c>
      <c r="M16" s="69">
        <f t="shared" si="4"/>
        <v>4380</v>
      </c>
      <c r="N16" s="77">
        <f>N17</f>
        <v>3680</v>
      </c>
      <c r="O16" s="77">
        <f t="shared" ref="O16:AF16" si="10">O17</f>
        <v>3700</v>
      </c>
      <c r="P16" s="77">
        <f t="shared" si="10"/>
        <v>3700</v>
      </c>
      <c r="Q16" s="77">
        <f>Q17</f>
        <v>3700</v>
      </c>
      <c r="R16" s="77">
        <f t="shared" si="10"/>
        <v>3710</v>
      </c>
      <c r="S16" s="77">
        <f t="shared" si="10"/>
        <v>3710</v>
      </c>
      <c r="T16" s="77">
        <f t="shared" si="10"/>
        <v>3700</v>
      </c>
      <c r="U16" s="77">
        <f t="shared" si="10"/>
        <v>3700</v>
      </c>
      <c r="V16" s="77">
        <f t="shared" si="10"/>
        <v>3690</v>
      </c>
      <c r="W16" s="77">
        <f t="shared" si="10"/>
        <v>3690</v>
      </c>
      <c r="X16" s="77">
        <f t="shared" si="10"/>
        <v>3660</v>
      </c>
      <c r="Y16" s="77">
        <f t="shared" si="10"/>
        <v>3650</v>
      </c>
      <c r="Z16" s="77">
        <f t="shared" si="10"/>
        <v>3650</v>
      </c>
      <c r="AA16" s="77">
        <f t="shared" si="10"/>
        <v>3620</v>
      </c>
      <c r="AB16" s="77">
        <f t="shared" si="10"/>
        <v>3660</v>
      </c>
      <c r="AC16" s="77">
        <f t="shared" si="10"/>
        <v>3610</v>
      </c>
      <c r="AD16" s="77">
        <f t="shared" si="10"/>
        <v>3580</v>
      </c>
      <c r="AE16" s="77">
        <f t="shared" si="10"/>
        <v>3580</v>
      </c>
      <c r="AF16" s="77">
        <f t="shared" si="10"/>
        <v>3580</v>
      </c>
      <c r="AG16" s="69">
        <f t="shared" si="1"/>
        <v>3662</v>
      </c>
      <c r="AH16" s="69">
        <f t="shared" ref="AH16:AH23" si="11">M16</f>
        <v>4380</v>
      </c>
      <c r="AI16" s="69">
        <v>4430</v>
      </c>
      <c r="AJ16" s="69"/>
      <c r="AK16" s="69">
        <f t="shared" si="3"/>
        <v>3912</v>
      </c>
      <c r="AL16" s="63"/>
      <c r="AO16" s="64"/>
    </row>
    <row r="17" spans="1:41" s="76" customFormat="1" ht="20.100000000000001" customHeight="1" x14ac:dyDescent="0.25">
      <c r="A17" s="111">
        <v>15</v>
      </c>
      <c r="B17" s="140"/>
      <c r="C17" s="110" t="s">
        <v>86</v>
      </c>
      <c r="D17" s="80" t="s">
        <v>99</v>
      </c>
      <c r="E17" s="110">
        <v>7.85</v>
      </c>
      <c r="F17" s="111">
        <v>3.75</v>
      </c>
      <c r="G17" s="111">
        <v>1510</v>
      </c>
      <c r="H17" s="111">
        <v>3000</v>
      </c>
      <c r="I17" s="111" t="s">
        <v>121</v>
      </c>
      <c r="J17" s="81">
        <f t="shared" si="0"/>
        <v>133.35187499999998</v>
      </c>
      <c r="K17" s="81" t="s">
        <v>9</v>
      </c>
      <c r="L17" s="63">
        <v>4180</v>
      </c>
      <c r="M17" s="69">
        <f t="shared" si="4"/>
        <v>4380</v>
      </c>
      <c r="N17" s="70">
        <v>3680</v>
      </c>
      <c r="O17" s="70">
        <v>3700</v>
      </c>
      <c r="P17" s="70">
        <v>3700</v>
      </c>
      <c r="Q17" s="70">
        <v>3700</v>
      </c>
      <c r="R17" s="70">
        <v>3710</v>
      </c>
      <c r="S17" s="70">
        <v>3710</v>
      </c>
      <c r="T17" s="70">
        <v>3700</v>
      </c>
      <c r="U17" s="70">
        <v>3700</v>
      </c>
      <c r="V17" s="70">
        <v>3690</v>
      </c>
      <c r="W17" s="70">
        <v>3690</v>
      </c>
      <c r="X17" s="70">
        <v>3660</v>
      </c>
      <c r="Y17" s="70">
        <v>3650</v>
      </c>
      <c r="Z17" s="70">
        <v>3650</v>
      </c>
      <c r="AA17" s="70">
        <v>3620</v>
      </c>
      <c r="AB17" s="70">
        <v>3660</v>
      </c>
      <c r="AC17" s="70">
        <v>3610</v>
      </c>
      <c r="AD17" s="70">
        <v>3580</v>
      </c>
      <c r="AE17" s="70">
        <v>3580</v>
      </c>
      <c r="AF17" s="70">
        <v>3580</v>
      </c>
      <c r="AG17" s="69">
        <f t="shared" si="1"/>
        <v>3662</v>
      </c>
      <c r="AH17" s="69">
        <f t="shared" si="11"/>
        <v>4380</v>
      </c>
      <c r="AI17" s="69">
        <v>4430</v>
      </c>
      <c r="AJ17" s="69"/>
      <c r="AK17" s="69">
        <f t="shared" si="3"/>
        <v>3912</v>
      </c>
      <c r="AL17" s="63"/>
      <c r="AO17" s="64"/>
    </row>
    <row r="18" spans="1:41" s="76" customFormat="1" ht="20.100000000000001" customHeight="1" x14ac:dyDescent="0.25">
      <c r="A18" s="111">
        <v>16</v>
      </c>
      <c r="B18" s="140"/>
      <c r="C18" s="110" t="s">
        <v>87</v>
      </c>
      <c r="D18" s="80" t="s">
        <v>100</v>
      </c>
      <c r="E18" s="110">
        <v>7.85</v>
      </c>
      <c r="F18" s="111">
        <v>4.75</v>
      </c>
      <c r="G18" s="111">
        <v>1510</v>
      </c>
      <c r="H18" s="111">
        <v>3000</v>
      </c>
      <c r="I18" s="111" t="s">
        <v>121</v>
      </c>
      <c r="J18" s="81">
        <f t="shared" si="0"/>
        <v>168.91237499999997</v>
      </c>
      <c r="K18" s="81" t="s">
        <v>9</v>
      </c>
      <c r="L18" s="63">
        <v>4080</v>
      </c>
      <c r="M18" s="69">
        <f t="shared" si="4"/>
        <v>4280</v>
      </c>
      <c r="N18" s="70">
        <v>3630</v>
      </c>
      <c r="O18" s="70">
        <v>3650</v>
      </c>
      <c r="P18" s="70">
        <v>3650</v>
      </c>
      <c r="Q18" s="70">
        <v>3650</v>
      </c>
      <c r="R18" s="70">
        <v>3660</v>
      </c>
      <c r="S18" s="70">
        <v>3660</v>
      </c>
      <c r="T18" s="70">
        <v>3650</v>
      </c>
      <c r="U18" s="70">
        <v>3650</v>
      </c>
      <c r="V18" s="70">
        <v>3640</v>
      </c>
      <c r="W18" s="70">
        <v>3640</v>
      </c>
      <c r="X18" s="70">
        <v>3610</v>
      </c>
      <c r="Y18" s="70">
        <v>3600</v>
      </c>
      <c r="Z18" s="70">
        <v>3600</v>
      </c>
      <c r="AA18" s="70">
        <v>3570</v>
      </c>
      <c r="AB18" s="70">
        <v>3610</v>
      </c>
      <c r="AC18" s="70">
        <v>3560</v>
      </c>
      <c r="AD18" s="70">
        <v>3530</v>
      </c>
      <c r="AE18" s="70">
        <v>3530</v>
      </c>
      <c r="AF18" s="70">
        <v>3530</v>
      </c>
      <c r="AG18" s="69">
        <f t="shared" si="1"/>
        <v>3612</v>
      </c>
      <c r="AH18" s="69">
        <f t="shared" si="11"/>
        <v>4280</v>
      </c>
      <c r="AI18" s="69">
        <v>4330</v>
      </c>
      <c r="AJ18" s="69"/>
      <c r="AK18" s="69">
        <f t="shared" si="3"/>
        <v>3862</v>
      </c>
      <c r="AL18" s="63"/>
      <c r="AO18" s="64"/>
    </row>
    <row r="19" spans="1:41" s="76" customFormat="1" ht="20.100000000000001" customHeight="1" x14ac:dyDescent="0.25">
      <c r="A19" s="111">
        <v>17</v>
      </c>
      <c r="B19" s="139" t="s">
        <v>115</v>
      </c>
      <c r="C19" s="110" t="s">
        <v>87</v>
      </c>
      <c r="D19" s="80" t="s">
        <v>101</v>
      </c>
      <c r="E19" s="110">
        <v>7.85</v>
      </c>
      <c r="F19" s="111">
        <v>5.75</v>
      </c>
      <c r="G19" s="111">
        <v>1510</v>
      </c>
      <c r="H19" s="111">
        <v>3000</v>
      </c>
      <c r="I19" s="111" t="s">
        <v>121</v>
      </c>
      <c r="J19" s="81">
        <f t="shared" si="0"/>
        <v>204.47287499999996</v>
      </c>
      <c r="K19" s="81" t="s">
        <v>9</v>
      </c>
      <c r="L19" s="63">
        <v>4080</v>
      </c>
      <c r="M19" s="69">
        <f t="shared" si="4"/>
        <v>4280</v>
      </c>
      <c r="N19" s="70">
        <v>3510</v>
      </c>
      <c r="O19" s="70">
        <v>3530</v>
      </c>
      <c r="P19" s="70">
        <v>3530</v>
      </c>
      <c r="Q19" s="70">
        <v>3530</v>
      </c>
      <c r="R19" s="70">
        <v>3530</v>
      </c>
      <c r="S19" s="70">
        <v>3530</v>
      </c>
      <c r="T19" s="70">
        <v>3520</v>
      </c>
      <c r="U19" s="70">
        <v>3520</v>
      </c>
      <c r="V19" s="70">
        <v>3510</v>
      </c>
      <c r="W19" s="70">
        <v>3510</v>
      </c>
      <c r="X19" s="70">
        <v>3510</v>
      </c>
      <c r="Y19" s="70">
        <v>3500</v>
      </c>
      <c r="Z19" s="70">
        <v>3500</v>
      </c>
      <c r="AA19" s="70">
        <v>3500</v>
      </c>
      <c r="AB19" s="70">
        <v>3540</v>
      </c>
      <c r="AC19" s="70">
        <v>3490</v>
      </c>
      <c r="AD19" s="70">
        <v>3480</v>
      </c>
      <c r="AE19" s="70">
        <v>3480</v>
      </c>
      <c r="AF19" s="70">
        <v>3480</v>
      </c>
      <c r="AG19" s="69">
        <f t="shared" si="1"/>
        <v>3511</v>
      </c>
      <c r="AH19" s="69">
        <f t="shared" si="11"/>
        <v>4280</v>
      </c>
      <c r="AI19" s="69">
        <v>4280</v>
      </c>
      <c r="AJ19" s="69"/>
      <c r="AK19" s="69">
        <f t="shared" si="3"/>
        <v>3761</v>
      </c>
      <c r="AL19" s="63"/>
      <c r="AO19" s="64"/>
    </row>
    <row r="20" spans="1:41" s="76" customFormat="1" ht="20.100000000000001" customHeight="1" x14ac:dyDescent="0.25">
      <c r="A20" s="111">
        <v>18</v>
      </c>
      <c r="B20" s="140"/>
      <c r="C20" s="110" t="s">
        <v>87</v>
      </c>
      <c r="D20" s="80" t="s">
        <v>102</v>
      </c>
      <c r="E20" s="110">
        <v>7.85</v>
      </c>
      <c r="F20" s="111">
        <v>7.75</v>
      </c>
      <c r="G20" s="111">
        <v>1510</v>
      </c>
      <c r="H20" s="111">
        <v>3000</v>
      </c>
      <c r="I20" s="111" t="s">
        <v>121</v>
      </c>
      <c r="J20" s="81">
        <f t="shared" si="0"/>
        <v>275.59387499999997</v>
      </c>
      <c r="K20" s="81" t="s">
        <v>9</v>
      </c>
      <c r="L20" s="63">
        <v>4080</v>
      </c>
      <c r="M20" s="69">
        <f t="shared" si="4"/>
        <v>4280</v>
      </c>
      <c r="N20" s="70">
        <v>3510</v>
      </c>
      <c r="O20" s="70">
        <v>3530</v>
      </c>
      <c r="P20" s="70">
        <v>3530</v>
      </c>
      <c r="Q20" s="70">
        <v>3530</v>
      </c>
      <c r="R20" s="70">
        <v>3530</v>
      </c>
      <c r="S20" s="70">
        <v>3530</v>
      </c>
      <c r="T20" s="70">
        <v>3520</v>
      </c>
      <c r="U20" s="70">
        <v>3520</v>
      </c>
      <c r="V20" s="70">
        <v>3510</v>
      </c>
      <c r="W20" s="70">
        <v>3510</v>
      </c>
      <c r="X20" s="70">
        <v>3510</v>
      </c>
      <c r="Y20" s="70">
        <v>3500</v>
      </c>
      <c r="Z20" s="70">
        <v>3500</v>
      </c>
      <c r="AA20" s="70">
        <v>3500</v>
      </c>
      <c r="AB20" s="70">
        <v>3540</v>
      </c>
      <c r="AC20" s="70">
        <v>3490</v>
      </c>
      <c r="AD20" s="70">
        <v>3480</v>
      </c>
      <c r="AE20" s="70">
        <v>3480</v>
      </c>
      <c r="AF20" s="70">
        <v>3480</v>
      </c>
      <c r="AG20" s="69">
        <f t="shared" si="1"/>
        <v>3511</v>
      </c>
      <c r="AH20" s="69">
        <f t="shared" si="11"/>
        <v>4280</v>
      </c>
      <c r="AI20" s="69">
        <v>4280</v>
      </c>
      <c r="AJ20" s="69"/>
      <c r="AK20" s="69">
        <f t="shared" si="3"/>
        <v>3761</v>
      </c>
      <c r="AL20" s="63"/>
      <c r="AO20" s="64"/>
    </row>
    <row r="21" spans="1:41" s="76" customFormat="1" ht="22.2" customHeight="1" x14ac:dyDescent="0.25">
      <c r="A21" s="111">
        <v>19</v>
      </c>
      <c r="B21" s="140"/>
      <c r="C21" s="110" t="s">
        <v>87</v>
      </c>
      <c r="D21" s="80" t="s">
        <v>103</v>
      </c>
      <c r="E21" s="110">
        <v>7.85</v>
      </c>
      <c r="F21" s="111">
        <v>9.75</v>
      </c>
      <c r="G21" s="111">
        <v>1510</v>
      </c>
      <c r="H21" s="111">
        <v>3000</v>
      </c>
      <c r="I21" s="111" t="s">
        <v>121</v>
      </c>
      <c r="J21" s="81">
        <f t="shared" si="0"/>
        <v>346.71487500000001</v>
      </c>
      <c r="K21" s="81" t="s">
        <v>9</v>
      </c>
      <c r="L21" s="63">
        <v>4080</v>
      </c>
      <c r="M21" s="69">
        <f t="shared" si="4"/>
        <v>4280</v>
      </c>
      <c r="N21" s="77">
        <f>N20</f>
        <v>3510</v>
      </c>
      <c r="O21" s="77">
        <f t="shared" ref="O21:AF21" si="12">O20</f>
        <v>3530</v>
      </c>
      <c r="P21" s="77">
        <f>P20</f>
        <v>3530</v>
      </c>
      <c r="Q21" s="77">
        <f t="shared" si="12"/>
        <v>3530</v>
      </c>
      <c r="R21" s="77">
        <f t="shared" si="12"/>
        <v>3530</v>
      </c>
      <c r="S21" s="77">
        <f t="shared" si="12"/>
        <v>3530</v>
      </c>
      <c r="T21" s="77">
        <f t="shared" si="12"/>
        <v>3520</v>
      </c>
      <c r="U21" s="77">
        <f t="shared" si="12"/>
        <v>3520</v>
      </c>
      <c r="V21" s="77">
        <f t="shared" si="12"/>
        <v>3510</v>
      </c>
      <c r="W21" s="77">
        <f t="shared" si="12"/>
        <v>3510</v>
      </c>
      <c r="X21" s="77">
        <f t="shared" si="12"/>
        <v>3510</v>
      </c>
      <c r="Y21" s="77">
        <f t="shared" si="12"/>
        <v>3500</v>
      </c>
      <c r="Z21" s="77">
        <f t="shared" si="12"/>
        <v>3500</v>
      </c>
      <c r="AA21" s="77">
        <f t="shared" si="12"/>
        <v>3500</v>
      </c>
      <c r="AB21" s="77">
        <f t="shared" si="12"/>
        <v>3540</v>
      </c>
      <c r="AC21" s="77">
        <f t="shared" si="12"/>
        <v>3490</v>
      </c>
      <c r="AD21" s="77">
        <f t="shared" si="12"/>
        <v>3480</v>
      </c>
      <c r="AE21" s="77">
        <f t="shared" si="12"/>
        <v>3480</v>
      </c>
      <c r="AF21" s="77">
        <f t="shared" si="12"/>
        <v>3480</v>
      </c>
      <c r="AG21" s="69">
        <f t="shared" si="1"/>
        <v>3511</v>
      </c>
      <c r="AH21" s="69">
        <f t="shared" si="11"/>
        <v>4280</v>
      </c>
      <c r="AI21" s="69">
        <v>4350</v>
      </c>
      <c r="AJ21" s="69"/>
      <c r="AK21" s="69">
        <f t="shared" si="3"/>
        <v>3761</v>
      </c>
      <c r="AL21" s="131" t="s">
        <v>106</v>
      </c>
      <c r="AO21" s="64"/>
    </row>
    <row r="22" spans="1:41" s="76" customFormat="1" ht="22.2" customHeight="1" x14ac:dyDescent="0.25">
      <c r="A22" s="111">
        <v>20</v>
      </c>
      <c r="B22" s="140"/>
      <c r="C22" s="110" t="s">
        <v>87</v>
      </c>
      <c r="D22" s="80"/>
      <c r="E22" s="110">
        <v>7.85</v>
      </c>
      <c r="F22" s="111">
        <v>11.75</v>
      </c>
      <c r="G22" s="111">
        <v>2500</v>
      </c>
      <c r="H22" s="111">
        <v>12000</v>
      </c>
      <c r="I22" s="111" t="s">
        <v>104</v>
      </c>
      <c r="J22" s="81">
        <f t="shared" si="0"/>
        <v>2767.1249999999995</v>
      </c>
      <c r="K22" s="81" t="s">
        <v>9</v>
      </c>
      <c r="L22" s="63">
        <v>4150</v>
      </c>
      <c r="M22" s="69">
        <f t="shared" si="4"/>
        <v>4350</v>
      </c>
      <c r="N22" s="77">
        <f>N21+70</f>
        <v>3580</v>
      </c>
      <c r="O22" s="77">
        <f t="shared" ref="O22:AF22" si="13">O21+70</f>
        <v>3600</v>
      </c>
      <c r="P22" s="77">
        <f>P21+70</f>
        <v>3600</v>
      </c>
      <c r="Q22" s="77">
        <f>Q21+70</f>
        <v>3600</v>
      </c>
      <c r="R22" s="77">
        <f t="shared" si="13"/>
        <v>3600</v>
      </c>
      <c r="S22" s="77">
        <f t="shared" si="13"/>
        <v>3600</v>
      </c>
      <c r="T22" s="77">
        <f t="shared" si="13"/>
        <v>3590</v>
      </c>
      <c r="U22" s="77">
        <f t="shared" si="13"/>
        <v>3590</v>
      </c>
      <c r="V22" s="77">
        <f t="shared" si="13"/>
        <v>3580</v>
      </c>
      <c r="W22" s="77">
        <f t="shared" si="13"/>
        <v>3580</v>
      </c>
      <c r="X22" s="77">
        <f t="shared" si="13"/>
        <v>3580</v>
      </c>
      <c r="Y22" s="77">
        <f t="shared" si="13"/>
        <v>3570</v>
      </c>
      <c r="Z22" s="77">
        <f t="shared" si="13"/>
        <v>3570</v>
      </c>
      <c r="AA22" s="77">
        <f t="shared" si="13"/>
        <v>3570</v>
      </c>
      <c r="AB22" s="77">
        <f t="shared" si="13"/>
        <v>3610</v>
      </c>
      <c r="AC22" s="77">
        <f t="shared" si="13"/>
        <v>3560</v>
      </c>
      <c r="AD22" s="77">
        <f t="shared" si="13"/>
        <v>3550</v>
      </c>
      <c r="AE22" s="77">
        <f t="shared" si="13"/>
        <v>3550</v>
      </c>
      <c r="AF22" s="77">
        <f t="shared" si="13"/>
        <v>3550</v>
      </c>
      <c r="AG22" s="69">
        <f t="shared" si="1"/>
        <v>3581</v>
      </c>
      <c r="AH22" s="69">
        <f t="shared" si="11"/>
        <v>4350</v>
      </c>
      <c r="AI22" s="69">
        <v>4350</v>
      </c>
      <c r="AJ22" s="69"/>
      <c r="AK22" s="69">
        <f t="shared" si="3"/>
        <v>3831</v>
      </c>
      <c r="AL22" s="131"/>
    </row>
    <row r="23" spans="1:41" ht="45" x14ac:dyDescent="0.25">
      <c r="A23" s="82">
        <v>21</v>
      </c>
      <c r="B23" s="83" t="s">
        <v>130</v>
      </c>
      <c r="C23" s="84" t="s">
        <v>87</v>
      </c>
      <c r="D23" s="85"/>
      <c r="E23" s="84">
        <v>7.85</v>
      </c>
      <c r="F23" s="86">
        <v>15.75</v>
      </c>
      <c r="G23" s="86">
        <v>2500</v>
      </c>
      <c r="H23" s="86">
        <v>12000</v>
      </c>
      <c r="I23" s="86" t="s">
        <v>104</v>
      </c>
      <c r="J23" s="87">
        <f t="shared" si="0"/>
        <v>3709.125</v>
      </c>
      <c r="K23" s="87" t="s">
        <v>9</v>
      </c>
      <c r="L23" s="63">
        <v>4150</v>
      </c>
      <c r="M23" s="69">
        <f t="shared" si="4"/>
        <v>4350</v>
      </c>
      <c r="N23" s="70">
        <v>3710</v>
      </c>
      <c r="O23" s="70">
        <v>3760</v>
      </c>
      <c r="P23" s="70">
        <v>3760</v>
      </c>
      <c r="Q23" s="70">
        <v>3780</v>
      </c>
      <c r="R23" s="70">
        <v>3780</v>
      </c>
      <c r="S23" s="70">
        <v>3790</v>
      </c>
      <c r="T23" s="70">
        <v>3780</v>
      </c>
      <c r="U23" s="70">
        <v>3780</v>
      </c>
      <c r="V23" s="70">
        <v>3770</v>
      </c>
      <c r="W23" s="70">
        <v>3760</v>
      </c>
      <c r="X23" s="70">
        <v>3760</v>
      </c>
      <c r="Y23" s="70">
        <v>3750</v>
      </c>
      <c r="Z23" s="70">
        <v>3740</v>
      </c>
      <c r="AA23" s="70">
        <v>3730</v>
      </c>
      <c r="AB23" s="70">
        <v>3750</v>
      </c>
      <c r="AC23" s="70">
        <v>3760</v>
      </c>
      <c r="AD23" s="70">
        <v>3730</v>
      </c>
      <c r="AE23" s="70">
        <v>3730</v>
      </c>
      <c r="AF23" s="70">
        <v>3730</v>
      </c>
      <c r="AG23" s="69">
        <f t="shared" si="1"/>
        <v>3755</v>
      </c>
      <c r="AH23" s="69">
        <f t="shared" si="11"/>
        <v>4350</v>
      </c>
      <c r="AI23" s="69"/>
      <c r="AJ23" s="69"/>
      <c r="AK23" s="69">
        <f>AG23+AJ23+250</f>
        <v>4005</v>
      </c>
      <c r="AL23" s="88"/>
    </row>
    <row r="24" spans="1:41" ht="20.100000000000001" customHeight="1" x14ac:dyDescent="0.25"/>
    <row r="25" spans="1:41" ht="20.100000000000001" customHeight="1" x14ac:dyDescent="0.25"/>
    <row r="26" spans="1:41" ht="20.100000000000001" customHeight="1" x14ac:dyDescent="0.25"/>
    <row r="27" spans="1:41" ht="20.100000000000001" customHeight="1" x14ac:dyDescent="0.25"/>
    <row r="28" spans="1:41" ht="20.100000000000001" customHeight="1" x14ac:dyDescent="0.25"/>
    <row r="37" spans="4:52" s="52" customFormat="1" x14ac:dyDescent="0.25">
      <c r="D37" s="89"/>
      <c r="E37" s="90"/>
      <c r="F37" s="90"/>
      <c r="G37" s="90"/>
      <c r="H37" s="90"/>
      <c r="M37" s="53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3"/>
      <c r="AH37" s="53"/>
      <c r="AI37" s="53"/>
      <c r="AJ37" s="53"/>
      <c r="AK37" s="53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</row>
  </sheetData>
  <mergeCells count="6">
    <mergeCell ref="A1:K1"/>
    <mergeCell ref="B3:B10"/>
    <mergeCell ref="B11:B15"/>
    <mergeCell ref="B16:B18"/>
    <mergeCell ref="B19:B22"/>
    <mergeCell ref="AL21:AL22"/>
  </mergeCells>
  <phoneticPr fontId="11" type="noConversion"/>
  <printOptions horizontalCentered="1"/>
  <pageMargins left="0.15748031496062992" right="0.15748031496062992" top="0.47244094488188981" bottom="0.43307086614173229" header="0.31496062992125984" footer="0.31496062992125984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22">
    <comment s:ref="T28" rgbClr="379A3C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板材结存</vt:lpstr>
      <vt:lpstr>开平板1月</vt:lpstr>
      <vt:lpstr>开平板2月</vt:lpstr>
      <vt:lpstr>开平板3月 </vt:lpstr>
      <vt:lpstr>开平板4月 </vt:lpstr>
      <vt:lpstr>开平板5月 </vt:lpstr>
      <vt:lpstr>开平板6月</vt:lpstr>
      <vt:lpstr>开平板7月 </vt:lpstr>
      <vt:lpstr>开平板4月</vt:lpstr>
      <vt:lpstr>自切管 3月</vt:lpstr>
      <vt:lpstr>开平板 3月</vt:lpstr>
      <vt:lpstr>26年1月份板材价格</vt:lpstr>
      <vt:lpstr>26年2月份板材价格</vt:lpstr>
      <vt:lpstr>26年3月份板材价格 </vt:lpstr>
      <vt:lpstr>26年4月份板材价格 </vt:lpstr>
      <vt:lpstr>26年5月份板材价格 </vt:lpstr>
      <vt:lpstr>26年6月份板材价格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cp:lastPrinted>2025-09-16T00:08:05Z</cp:lastPrinted>
  <dcterms:created xsi:type="dcterms:W3CDTF">2014-03-05T05:21:00Z</dcterms:created>
  <dcterms:modified xsi:type="dcterms:W3CDTF">2026-06-02T06:20:22Z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790A8A07E6CC417A888CA6010DD0D1EA</vt:lpwstr>
  </property>
  <property fmtid="{D5CDD505-2E9C-101B-9397-08002B2CF9AE}" pid="3" name="KSOProductBuildVer">
    <vt:lpwstr>2052-11.1.0.12358</vt:lpwstr>
  </property>
  <property fmtid="{D5CDD505-2E9C-101B-9397-08002B2CF9AE}" pid="4" name="KSOReadingLayout">
    <vt:bool>true</vt:bool>
  </property>
</Properties>
</file>